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cpg24/Development/codex/autobiz/outputs/autobiz-blueprint/"/>
    </mc:Choice>
  </mc:AlternateContent>
  <xr:revisionPtr revIDLastSave="0" documentId="11_FE0887888A28606F91578BAA0AAAD983F9DF3E26" xr6:coauthVersionLast="47" xr6:coauthVersionMax="47" xr10:uidLastSave="{00000000-0000-0000-0000-000000000000}"/>
  <bookViews>
    <workbookView xWindow="0" yWindow="600" windowWidth="38400" windowHeight="21820" activeTab="3" xr2:uid="{00000000-000D-0000-FFFF-FFFF00000000}"/>
  </bookViews>
  <sheets>
    <sheet name="Summary" sheetId="1" r:id="rId1"/>
    <sheet name="Assumptions" sheetId="2" r:id="rId2"/>
    <sheet name="Forecast" sheetId="3" r:id="rId3"/>
    <sheet name="Check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D9" i="4" s="1"/>
  <c r="F9" i="4" s="1"/>
  <c r="B23" i="3"/>
  <c r="M20" i="3"/>
  <c r="L20" i="3"/>
  <c r="K20" i="3"/>
  <c r="J20" i="3"/>
  <c r="I20" i="3"/>
  <c r="H20" i="3"/>
  <c r="G20" i="3"/>
  <c r="F20" i="3"/>
  <c r="E20" i="3"/>
  <c r="D20" i="3"/>
  <c r="C20" i="3"/>
  <c r="B20" i="3"/>
  <c r="B11" i="3"/>
  <c r="B7" i="3"/>
  <c r="B6" i="3"/>
  <c r="C5" i="3"/>
  <c r="C11" i="3" s="1"/>
  <c r="B5" i="3"/>
  <c r="B4" i="3"/>
  <c r="B10" i="3" l="1"/>
  <c r="B9" i="3" s="1"/>
  <c r="B15" i="3"/>
  <c r="B14" i="3"/>
  <c r="D5" i="3"/>
  <c r="C4" i="3"/>
  <c r="C6" i="3" l="1"/>
  <c r="C7" i="3"/>
  <c r="E5" i="3"/>
  <c r="D11" i="3"/>
  <c r="B16" i="3"/>
  <c r="B13" i="3" s="1"/>
  <c r="B12" i="1"/>
  <c r="B18" i="3" l="1"/>
  <c r="D4" i="3"/>
  <c r="C10" i="3"/>
  <c r="C9" i="3" s="1"/>
  <c r="C14" i="3"/>
  <c r="C15" i="3"/>
  <c r="F5" i="3"/>
  <c r="E11" i="3"/>
  <c r="D6" i="3" l="1"/>
  <c r="D7" i="3" s="1"/>
  <c r="G5" i="3"/>
  <c r="F11" i="3"/>
  <c r="C16" i="3"/>
  <c r="C13" i="3" s="1"/>
  <c r="B13" i="1"/>
  <c r="B21" i="3"/>
  <c r="B19" i="3"/>
  <c r="C12" i="1"/>
  <c r="C18" i="3" l="1"/>
  <c r="E4" i="3"/>
  <c r="D14" i="3"/>
  <c r="D15" i="3"/>
  <c r="D10" i="3"/>
  <c r="D9" i="3" s="1"/>
  <c r="B24" i="3"/>
  <c r="B9" i="1"/>
  <c r="H5" i="3"/>
  <c r="G11" i="3"/>
  <c r="C23" i="3" l="1"/>
  <c r="D12" i="1"/>
  <c r="D16" i="3"/>
  <c r="D13" i="3" s="1"/>
  <c r="B14" i="1"/>
  <c r="I5" i="3"/>
  <c r="H11" i="3"/>
  <c r="E6" i="3"/>
  <c r="E7" i="3" s="1"/>
  <c r="C21" i="3"/>
  <c r="C19" i="3"/>
  <c r="C13" i="1"/>
  <c r="F4" i="3" l="1"/>
  <c r="E14" i="3"/>
  <c r="E15" i="3"/>
  <c r="E10" i="3"/>
  <c r="E9" i="3" s="1"/>
  <c r="D18" i="3"/>
  <c r="J5" i="3"/>
  <c r="I11" i="3"/>
  <c r="C24" i="3"/>
  <c r="D23" i="3" l="1"/>
  <c r="D13" i="1"/>
  <c r="K5" i="3"/>
  <c r="J11" i="3"/>
  <c r="D21" i="3"/>
  <c r="D19" i="3"/>
  <c r="C14" i="1"/>
  <c r="B15" i="1"/>
  <c r="E16" i="3"/>
  <c r="E13" i="3"/>
  <c r="E18" i="3" s="1"/>
  <c r="F7" i="3"/>
  <c r="F6" i="3"/>
  <c r="E19" i="3" l="1"/>
  <c r="C15" i="1"/>
  <c r="E21" i="3"/>
  <c r="G4" i="3"/>
  <c r="F14" i="3"/>
  <c r="F15" i="3"/>
  <c r="F10" i="3"/>
  <c r="F9" i="3" s="1"/>
  <c r="L5" i="3"/>
  <c r="K11" i="3"/>
  <c r="D24" i="3"/>
  <c r="B16" i="1" l="1"/>
  <c r="F16" i="3"/>
  <c r="D14" i="1"/>
  <c r="E23" i="3"/>
  <c r="E24" i="3" s="1"/>
  <c r="M5" i="3"/>
  <c r="M11" i="3" s="1"/>
  <c r="L11" i="3"/>
  <c r="F13" i="3"/>
  <c r="F18" i="3" s="1"/>
  <c r="G6" i="3"/>
  <c r="G7" i="3" s="1"/>
  <c r="H4" i="3" l="1"/>
  <c r="G14" i="3"/>
  <c r="G15" i="3"/>
  <c r="G10" i="3"/>
  <c r="G9" i="3" s="1"/>
  <c r="C16" i="1"/>
  <c r="F19" i="3"/>
  <c r="F21" i="3"/>
  <c r="F23" i="3"/>
  <c r="F24" i="3" s="1"/>
  <c r="D15" i="1"/>
  <c r="G23" i="3" l="1"/>
  <c r="D16" i="1"/>
  <c r="G16" i="3"/>
  <c r="B17" i="1"/>
  <c r="G13" i="3"/>
  <c r="G18" i="3" s="1"/>
  <c r="H6" i="3"/>
  <c r="H7" i="3" s="1"/>
  <c r="I4" i="3" l="1"/>
  <c r="H14" i="3"/>
  <c r="H15" i="3"/>
  <c r="H10" i="3"/>
  <c r="H9" i="3" s="1"/>
  <c r="G19" i="3"/>
  <c r="G21" i="3"/>
  <c r="C17" i="1"/>
  <c r="G24" i="3"/>
  <c r="H23" i="3" l="1"/>
  <c r="D17" i="1"/>
  <c r="H16" i="3"/>
  <c r="B18" i="1"/>
  <c r="H13" i="3"/>
  <c r="H18" i="3" s="1"/>
  <c r="I6" i="3"/>
  <c r="I7" i="3" s="1"/>
  <c r="J4" i="3" l="1"/>
  <c r="I10" i="3"/>
  <c r="I9" i="3" s="1"/>
  <c r="I14" i="3"/>
  <c r="I15" i="3"/>
  <c r="H19" i="3"/>
  <c r="C18" i="1"/>
  <c r="H21" i="3"/>
  <c r="H24" i="3" s="1"/>
  <c r="D18" i="1" l="1"/>
  <c r="I23" i="3"/>
  <c r="B19" i="1"/>
  <c r="I16" i="3"/>
  <c r="I13" i="3" s="1"/>
  <c r="I18" i="3" s="1"/>
  <c r="J6" i="3"/>
  <c r="J7" i="3" s="1"/>
  <c r="K4" i="3" l="1"/>
  <c r="J14" i="3"/>
  <c r="J15" i="3"/>
  <c r="J10" i="3"/>
  <c r="J9" i="3" s="1"/>
  <c r="I19" i="3"/>
  <c r="C19" i="1"/>
  <c r="I21" i="3"/>
  <c r="I24" i="3"/>
  <c r="D19" i="1" l="1"/>
  <c r="J23" i="3"/>
  <c r="B20" i="1"/>
  <c r="J16" i="3"/>
  <c r="J13" i="3"/>
  <c r="J18" i="3" s="1"/>
  <c r="K6" i="3"/>
  <c r="K7" i="3" s="1"/>
  <c r="K14" i="3" l="1"/>
  <c r="K10" i="3"/>
  <c r="K9" i="3" s="1"/>
  <c r="K15" i="3"/>
  <c r="L4" i="3"/>
  <c r="J19" i="3"/>
  <c r="C20" i="1"/>
  <c r="J21" i="3"/>
  <c r="J24" i="3"/>
  <c r="D20" i="1" l="1"/>
  <c r="K23" i="3"/>
  <c r="L6" i="3"/>
  <c r="L7" i="3" s="1"/>
  <c r="B21" i="1"/>
  <c r="K16" i="3"/>
  <c r="K13" i="3"/>
  <c r="K18" i="3" s="1"/>
  <c r="K19" i="3" l="1"/>
  <c r="C21" i="1"/>
  <c r="K21" i="3"/>
  <c r="L14" i="3"/>
  <c r="L15" i="3"/>
  <c r="L10" i="3"/>
  <c r="L9" i="3" s="1"/>
  <c r="M4" i="3"/>
  <c r="K24" i="3"/>
  <c r="D21" i="1" l="1"/>
  <c r="L23" i="3"/>
  <c r="M6" i="3"/>
  <c r="M7" i="3" s="1"/>
  <c r="L16" i="3"/>
  <c r="L13" i="3" s="1"/>
  <c r="L18" i="3" s="1"/>
  <c r="B22" i="1"/>
  <c r="L19" i="3" l="1"/>
  <c r="L21" i="3"/>
  <c r="C22" i="1"/>
  <c r="M15" i="3"/>
  <c r="M10" i="3"/>
  <c r="M9" i="3" s="1"/>
  <c r="M14" i="3"/>
  <c r="B7" i="4"/>
  <c r="D7" i="4" s="1"/>
  <c r="F7" i="4" s="1"/>
  <c r="L24" i="3"/>
  <c r="M16" i="3" l="1"/>
  <c r="B23" i="1"/>
  <c r="B5" i="4"/>
  <c r="D5" i="4" s="1"/>
  <c r="F5" i="4" s="1"/>
  <c r="B5" i="1"/>
  <c r="M23" i="3"/>
  <c r="D22" i="1"/>
  <c r="M13" i="3"/>
  <c r="B6" i="4" s="1"/>
  <c r="D6" i="4" s="1"/>
  <c r="F6" i="4" s="1"/>
  <c r="M18" i="3" l="1"/>
  <c r="M21" i="3" l="1"/>
  <c r="M24" i="3" s="1"/>
  <c r="C23" i="1"/>
  <c r="M19" i="3"/>
  <c r="B6" i="1"/>
  <c r="B7" i="1" s="1"/>
  <c r="D23" i="1" l="1"/>
  <c r="B8" i="1"/>
  <c r="B8" i="4"/>
  <c r="D8" i="4" s="1"/>
  <c r="F8" i="4" s="1"/>
  <c r="B11" i="4" s="1"/>
</calcChain>
</file>

<file path=xl/sharedStrings.xml><?xml version="1.0" encoding="utf-8"?>
<sst xmlns="http://schemas.openxmlformats.org/spreadsheetml/2006/main" count="211" uniqueCount="110">
  <si>
    <t>Autobiz Financial Model</t>
  </si>
  <si>
    <t>Illustrative 12-month planning model — inputs are hypotheses, not market evidence</t>
  </si>
  <si>
    <t>Planning scenario</t>
  </si>
  <si>
    <t>Base</t>
  </si>
  <si>
    <t>Year 1 revenue</t>
  </si>
  <si>
    <t>Year 1 contribution</t>
  </si>
  <si>
    <t>Contribution margin</t>
  </si>
  <si>
    <t>Ending cash</t>
  </si>
  <si>
    <t>Break-even month</t>
  </si>
  <si>
    <t>Month</t>
  </si>
  <si>
    <t>Revenue</t>
  </si>
  <si>
    <t>Contribution</t>
  </si>
  <si>
    <t>Closing cash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</si>
  <si>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</si>
  <si>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</si>
  <si>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</si>
  <si>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</si>
  <si>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</si>
  <si>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</si>
  <si>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</si>
  <si>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</si>
  <si>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</si>
  <si>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</si>
  <si>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</si>
  <si>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</si>
  <si>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Assumptions</t>
  </si>
  <si>
    <t>Blue text on gold cells indicates editable hypotheses</t>
  </si>
  <si>
    <t>Driver</t>
  </si>
  <si>
    <t>Conservative</t>
  </si>
  <si>
    <t>Upside</t>
  </si>
  <si>
    <t>Unit</t>
  </si>
  <si>
    <t>Basis / note</t>
  </si>
  <si>
    <t>Starting customers</t>
  </si>
  <si>
    <t>customers</t>
  </si>
  <si>
    <t>Pre-revenue starting point</t>
  </si>
  <si>
    <t>New customers in month 1</t>
  </si>
  <si>
    <t>Hypothesis to validate</t>
  </si>
  <si>
    <t>Monthly new-customer growth</t>
  </si>
  <si>
    <t>%</t>
  </si>
  <si>
    <t>Monthly customer churn</t>
  </si>
  <si>
    <t>Monthly subscription price</t>
  </si>
  <si>
    <t>EUR/customer</t>
  </si>
  <si>
    <t>Hypothesis to test through paid offers</t>
  </si>
  <si>
    <t>One-time setup fee</t>
  </si>
  <si>
    <t>EUR/new customer</t>
  </si>
  <si>
    <t>Variable delivery hours/customer</t>
  </si>
  <si>
    <t>hours/month</t>
  </si>
  <si>
    <t>Includes operator time</t>
  </si>
  <si>
    <t>Loaded hourly delivery cost</t>
  </si>
  <si>
    <t>EUR/hour</t>
  </si>
  <si>
    <t>Opportunity cost or contractor rate</t>
  </si>
  <si>
    <t>AI/API cost/customer</t>
  </si>
  <si>
    <t>EUR/month</t>
  </si>
  <si>
    <t>Placeholder until measured</t>
  </si>
  <si>
    <t>Payment and variable fees</t>
  </si>
  <si>
    <t>% revenue</t>
  </si>
  <si>
    <t>Illustrative blended variable fee</t>
  </si>
  <si>
    <t>Fixed software and hosting</t>
  </si>
  <si>
    <t>Placeholder until vendors selected</t>
  </si>
  <si>
    <t>Sales and marketing</t>
  </si>
  <si>
    <t>Founder-led initially</t>
  </si>
  <si>
    <t>Other administration</t>
  </si>
  <si>
    <t>Accounting, insurance, tools estimate</t>
  </si>
  <si>
    <t>Opening cash</t>
  </si>
  <si>
    <t>EUR</t>
  </si>
  <si>
    <t>Planning input</t>
  </si>
  <si>
    <t>Instructions</t>
  </si>
  <si>
    <t>1</t>
  </si>
  <si>
    <t>Replace hypotheses with interview and pilot evidence.</t>
  </si>
  <si>
    <t>2</t>
  </si>
  <si>
    <t>Keep founder/operator time in variable cost; do not treat it as free.</t>
  </si>
  <si>
    <t>3</t>
  </si>
  <si>
    <t>The forecast currently uses the Base column. Scenarios are comparison inputs.</t>
  </si>
  <si>
    <t>12-Month Forecast</t>
  </si>
  <si>
    <t>Formula-driven from Base assumptions</t>
  </si>
  <si>
    <t>Metric</t>
  </si>
  <si>
    <t>Opening customers</t>
  </si>
  <si>
    <t>New customers</t>
  </si>
  <si>
    <t>Churned customers</t>
  </si>
  <si>
    <t>Closing customers</t>
  </si>
  <si>
    <t>Subscription revenue</t>
  </si>
  <si>
    <t>Setup revenue</t>
  </si>
  <si>
    <t>Variable costs</t>
  </si>
  <si>
    <t>Delivery labor</t>
  </si>
  <si>
    <t>AI/API usage</t>
  </si>
  <si>
    <t>Payment/variable fees</t>
  </si>
  <si>
    <t>Fixed operating costs</t>
  </si>
  <si>
    <t>Operating cash flow</t>
  </si>
  <si>
    <t>Model Checks</t>
  </si>
  <si>
    <t>PASS means formulas reconcile; assumptions remain unvalidated</t>
  </si>
  <si>
    <t>Check</t>
  </si>
  <si>
    <t>Actual</t>
  </si>
  <si>
    <t>Expected</t>
  </si>
  <si>
    <t>Difference</t>
  </si>
  <si>
    <t>Tolerance</t>
  </si>
  <si>
    <t>Status</t>
  </si>
  <si>
    <t>Where to fix / note</t>
  </si>
  <si>
    <t>Revenue equals components</t>
  </si>
  <si>
    <t>Forecast rows 9–11</t>
  </si>
  <si>
    <t>Variable costs equal components</t>
  </si>
  <si>
    <t>Forecast rows 13–16</t>
  </si>
  <si>
    <t>Customer roll-forward</t>
  </si>
  <si>
    <t>Forecast rows 4–7</t>
  </si>
  <si>
    <t>Cash roll-forward</t>
  </si>
  <si>
    <t>Forecast rows 21–24</t>
  </si>
  <si>
    <t>All required base assumptions populated</t>
  </si>
  <si>
    <t>Assumptions B5:B18</t>
  </si>
  <si>
    <t>MODEL STATUS</t>
  </si>
  <si>
    <t>Interpretation</t>
  </si>
  <si>
    <t>Calculation integrity only; validate all gold inputs.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</si>
</sst>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€#,##0;[Red]\(\€#,##0\);\-"/>
    <numFmt numFmtId="165" formatCode="0.0%"/>
    <numFmt numFmtId="166" formatCode="\€#,##0"/>
    <numFmt numFmtId="167" formatCode="\€#,##0.00;[Red]\(\€#,##0.00\);\-"/>
  </numFmts>
  <fonts count="7">
    <font>
      <sz val="11"/>
      <name val="Carlito"/>
    </font>
    <font>
      <b/>
      <sz val="18"/>
      <color rgb="FFFFFFFF"/>
      <name val="Aptos"/>
    </font>
    <font>
      <i/>
      <sz val="11"/>
      <color rgb="FF17324D"/>
      <name val="Aptos"/>
    </font>
    <font>
      <sz val="11"/>
      <name val="Aptos"/>
    </font>
    <font>
      <b/>
      <sz val="11"/>
      <color rgb="FF17324D"/>
      <name val="Aptos"/>
    </font>
    <font>
      <b/>
      <sz val="11"/>
      <color rgb="FFFFFFFF"/>
      <name val="Aptos"/>
    </font>
    <font>
      <sz val="11"/>
      <color rgb="FF1D4ED8"/>
      <name val="Aptos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CEAF5"/>
      </patternFill>
    </fill>
    <fill>
      <patternFill patternType="solid">
        <fgColor rgb="FFDDF2EF"/>
      </patternFill>
    </fill>
    <fill>
      <patternFill patternType="solid">
        <fgColor rgb="FFFFF2CC"/>
      </patternFill>
    </fill>
    <fill>
      <patternFill patternType="solid">
        <fgColor rgb="FF2F6B9A"/>
      </patternFill>
    </fill>
  </fills>
  <borders count="13">
    <border>
      <left/>
      <right/>
      <top/>
      <bottom/>
      <diagonal/>
    </border>
    <border>
      <left/>
      <right style="thin">
        <color rgb="FF8FA5B8"/>
      </right>
      <top/>
      <bottom/>
      <diagonal/>
    </border>
    <border>
      <left style="thin">
        <color rgb="FF8FA5B8"/>
      </left>
      <right/>
      <top/>
      <bottom/>
      <diagonal/>
    </border>
    <border>
      <left style="thin">
        <color rgb="FF8FA5B8"/>
      </left>
      <right style="thin">
        <color rgb="FF8FA5B8"/>
      </right>
      <top/>
      <bottom/>
      <diagonal/>
    </border>
    <border>
      <left style="thin">
        <color rgb="FFD9A441"/>
      </left>
      <right/>
      <top style="thin">
        <color rgb="FFD9A441"/>
      </top>
      <bottom/>
      <diagonal/>
    </border>
    <border>
      <left/>
      <right/>
      <top style="thin">
        <color rgb="FFD9A441"/>
      </top>
      <bottom/>
      <diagonal/>
    </border>
    <border>
      <left/>
      <right style="thin">
        <color rgb="FFD9A441"/>
      </right>
      <top style="thin">
        <color rgb="FFD9A441"/>
      </top>
      <bottom/>
      <diagonal/>
    </border>
    <border>
      <left style="thin">
        <color rgb="FFD9A441"/>
      </left>
      <right/>
      <top/>
      <bottom/>
      <diagonal/>
    </border>
    <border>
      <left/>
      <right style="thin">
        <color rgb="FFD9A441"/>
      </right>
      <top/>
      <bottom/>
      <diagonal/>
    </border>
    <border>
      <left style="thin">
        <color rgb="FFD9A441"/>
      </left>
      <right/>
      <top/>
      <bottom style="thin">
        <color rgb="FFD9A441"/>
      </bottom>
      <diagonal/>
    </border>
    <border>
      <left/>
      <right/>
      <top/>
      <bottom style="thin">
        <color rgb="FFD9A441"/>
      </bottom>
      <diagonal/>
    </border>
    <border>
      <left/>
      <right style="thin">
        <color rgb="FFD9A441"/>
      </right>
      <top/>
      <bottom style="thin">
        <color rgb="FFD9A441"/>
      </bottom>
      <diagonal/>
    </border>
    <border>
      <left/>
      <right/>
      <top/>
      <bottom style="double">
        <color rgb="FF17324D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4" fillId="0" borderId="0" xfId="0" applyFont="1"/>
    <xf numFmtId="164" fontId="4" fillId="4" borderId="0" xfId="0" applyNumberFormat="1" applyFont="1" applyFill="1"/>
    <xf numFmtId="165" fontId="4" fillId="4" borderId="0" xfId="0" applyNumberFormat="1" applyFont="1" applyFill="1"/>
    <xf numFmtId="0" fontId="5" fillId="2" borderId="1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164" fontId="3" fillId="0" borderId="0" xfId="0" applyNumberFormat="1" applyFont="1"/>
    <xf numFmtId="0" fontId="6" fillId="5" borderId="4" xfId="0" applyFont="1" applyFill="1" applyBorder="1"/>
    <xf numFmtId="0" fontId="6" fillId="5" borderId="5" xfId="0" applyFont="1" applyFill="1" applyBorder="1"/>
    <xf numFmtId="0" fontId="6" fillId="5" borderId="6" xfId="0" applyFont="1" applyFill="1" applyBorder="1"/>
    <xf numFmtId="0" fontId="6" fillId="5" borderId="7" xfId="0" applyFont="1" applyFill="1" applyBorder="1"/>
    <xf numFmtId="0" fontId="6" fillId="5" borderId="0" xfId="0" applyFont="1" applyFill="1"/>
    <xf numFmtId="0" fontId="6" fillId="5" borderId="8" xfId="0" applyFont="1" applyFill="1" applyBorder="1"/>
    <xf numFmtId="165" fontId="6" fillId="5" borderId="7" xfId="0" applyNumberFormat="1" applyFont="1" applyFill="1" applyBorder="1"/>
    <xf numFmtId="165" fontId="6" fillId="5" borderId="0" xfId="0" applyNumberFormat="1" applyFont="1" applyFill="1"/>
    <xf numFmtId="165" fontId="6" fillId="5" borderId="8" xfId="0" applyNumberFormat="1" applyFont="1" applyFill="1" applyBorder="1"/>
    <xf numFmtId="166" fontId="6" fillId="5" borderId="7" xfId="0" applyNumberFormat="1" applyFont="1" applyFill="1" applyBorder="1"/>
    <xf numFmtId="166" fontId="6" fillId="5" borderId="0" xfId="0" applyNumberFormat="1" applyFont="1" applyFill="1"/>
    <xf numFmtId="166" fontId="6" fillId="5" borderId="8" xfId="0" applyNumberFormat="1" applyFont="1" applyFill="1" applyBorder="1"/>
    <xf numFmtId="166" fontId="6" fillId="5" borderId="9" xfId="0" applyNumberFormat="1" applyFont="1" applyFill="1" applyBorder="1"/>
    <xf numFmtId="166" fontId="6" fillId="5" borderId="10" xfId="0" applyNumberFormat="1" applyFont="1" applyFill="1" applyBorder="1"/>
    <xf numFmtId="166" fontId="6" fillId="5" borderId="11" xfId="0" applyNumberFormat="1" applyFont="1" applyFill="1" applyBorder="1"/>
    <xf numFmtId="3" fontId="3" fillId="0" borderId="0" xfId="0" applyNumberFormat="1" applyFont="1"/>
    <xf numFmtId="0" fontId="4" fillId="3" borderId="12" xfId="0" applyFont="1" applyFill="1" applyBorder="1"/>
    <xf numFmtId="164" fontId="4" fillId="3" borderId="12" xfId="0" applyNumberFormat="1" applyFont="1" applyFill="1" applyBorder="1"/>
    <xf numFmtId="0" fontId="4" fillId="4" borderId="0" xfId="0" applyFont="1" applyFill="1"/>
    <xf numFmtId="165" fontId="3" fillId="0" borderId="0" xfId="0" applyNumberFormat="1" applyFont="1"/>
    <xf numFmtId="0" fontId="4" fillId="5" borderId="0" xfId="0" applyFont="1" applyFill="1"/>
    <xf numFmtId="164" fontId="4" fillId="5" borderId="0" xfId="0" applyNumberFormat="1" applyFont="1" applyFill="1"/>
    <xf numFmtId="167" fontId="3" fillId="0" borderId="0" xfId="0" applyNumberFormat="1" applyFont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5" fillId="6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Revenue, contribution and cash (€)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Summary!$A$12:$A$23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Summary!$B$12:$B$23</c:f>
              <c:numCache>
                <c:formatCode>\€#,##0;[Red]\(\€#,##0\);\-</c:formatCode>
                <c:ptCount val="12"/>
                <c:pt idx="0">
                  <c:v>1750</c:v>
                </c:pt>
                <c:pt idx="1">
                  <c:v>2500</c:v>
                </c:pt>
                <c:pt idx="2">
                  <c:v>3250</c:v>
                </c:pt>
                <c:pt idx="3">
                  <c:v>4000</c:v>
                </c:pt>
                <c:pt idx="4">
                  <c:v>4750</c:v>
                </c:pt>
                <c:pt idx="5">
                  <c:v>5500</c:v>
                </c:pt>
                <c:pt idx="6">
                  <c:v>6250</c:v>
                </c:pt>
                <c:pt idx="7">
                  <c:v>7000</c:v>
                </c:pt>
                <c:pt idx="8">
                  <c:v>7750</c:v>
                </c:pt>
                <c:pt idx="9">
                  <c:v>8500</c:v>
                </c:pt>
                <c:pt idx="10">
                  <c:v>9250</c:v>
                </c:pt>
                <c:pt idx="11">
                  <c:v>10000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F66-7341-8C84-DE19564EADED}"/>
            </c:ext>
          </c:extLst>
        </c:ser>
        <c:ser>
          <c:idx val="1"/>
          <c:order val="1"/>
          <c:tx>
            <c:v>Contribution</c:v>
          </c:tx>
          <c:marker>
            <c:symbol val="none"/>
          </c:marker>
          <c:cat>
            <c:strRef>
              <c:f>Summary!$A$12:$A$23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Summary!$C$12:$C$23</c:f>
              <c:numCache>
                <c:formatCode>\€#,##0;[Red]\(\€#,##0\);\-</c:formatCode>
                <c:ptCount val="12"/>
                <c:pt idx="0">
                  <c:v>1522.5</c:v>
                </c:pt>
                <c:pt idx="1">
                  <c:v>2075</c:v>
                </c:pt>
                <c:pt idx="2">
                  <c:v>2627.5</c:v>
                </c:pt>
                <c:pt idx="3">
                  <c:v>3180</c:v>
                </c:pt>
                <c:pt idx="4">
                  <c:v>3732.5</c:v>
                </c:pt>
                <c:pt idx="5">
                  <c:v>4285</c:v>
                </c:pt>
                <c:pt idx="6">
                  <c:v>4837.5</c:v>
                </c:pt>
                <c:pt idx="7">
                  <c:v>5390</c:v>
                </c:pt>
                <c:pt idx="8">
                  <c:v>5942.5</c:v>
                </c:pt>
                <c:pt idx="9">
                  <c:v>6495</c:v>
                </c:pt>
                <c:pt idx="10">
                  <c:v>7047.5</c:v>
                </c:pt>
                <c:pt idx="11">
                  <c:v>7600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F66-7341-8C84-DE19564EADED}"/>
            </c:ext>
          </c:extLst>
        </c:ser>
        <c:ser>
          <c:idx val="2"/>
          <c:order val="2"/>
          <c:tx>
            <c:v>Closing cash</c:v>
          </c:tx>
          <c:marker>
            <c:symbol val="none"/>
          </c:marker>
          <c:cat>
            <c:strRef>
              <c:f>Summary!$A$12:$A$23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Summary!$D$12:$D$23</c:f>
              <c:numCache>
                <c:formatCode>\€#,##0;[Red]\(\€#,##0\);\-</c:formatCode>
                <c:ptCount val="12"/>
                <c:pt idx="0">
                  <c:v>10522.5</c:v>
                </c:pt>
                <c:pt idx="1">
                  <c:v>11597.5</c:v>
                </c:pt>
                <c:pt idx="2">
                  <c:v>13225</c:v>
                </c:pt>
                <c:pt idx="3">
                  <c:v>15405</c:v>
                </c:pt>
                <c:pt idx="4">
                  <c:v>18137.5</c:v>
                </c:pt>
                <c:pt idx="5">
                  <c:v>21422.5</c:v>
                </c:pt>
                <c:pt idx="6">
                  <c:v>25260</c:v>
                </c:pt>
                <c:pt idx="7">
                  <c:v>29650</c:v>
                </c:pt>
                <c:pt idx="8">
                  <c:v>34592.5</c:v>
                </c:pt>
                <c:pt idx="9">
                  <c:v>40087.5</c:v>
                </c:pt>
                <c:pt idx="10">
                  <c:v>46135</c:v>
                </c:pt>
                <c:pt idx="11">
                  <c:v>52735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F66-7341-8C84-DE19564EA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€#,##0;[Red]\(\€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showGridLines="0" zoomScale="140" zoomScaleNormal="140" workbookViewId="0">
      <selection activeCell="D23" sqref="D23"/>
    </sheetView>
  </sheetViews>
  <sheetFormatPr baseColWidth="10" defaultColWidth="8.83203125" defaultRowHeight="15"/>
  <cols>
    <col min="1" max="1" width="24" customWidth="1"/>
    <col min="2" max="13" width="12" customWidth="1"/>
  </cols>
  <sheetData>
    <row r="1" spans="1:13" ht="34" customHeight="1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33" t="s">
        <v>0</v>
      </c>
      <c r="L1" s="33" t="s">
        <v>0</v>
      </c>
      <c r="M1" s="33" t="s">
        <v>0</v>
      </c>
    </row>
    <row r="2" spans="1:13" ht="30" customHeight="1">
      <c r="A2" s="34" t="s">
        <v>1</v>
      </c>
      <c r="B2" s="34" t="s">
        <v>1</v>
      </c>
      <c r="C2" s="34" t="s">
        <v>1</v>
      </c>
      <c r="D2" s="34" t="s">
        <v>1</v>
      </c>
      <c r="E2" s="34" t="s">
        <v>1</v>
      </c>
      <c r="F2" s="34" t="s">
        <v>1</v>
      </c>
      <c r="G2" s="34" t="s">
        <v>1</v>
      </c>
      <c r="H2" s="34" t="s">
        <v>1</v>
      </c>
      <c r="I2" s="34" t="s">
        <v>1</v>
      </c>
      <c r="J2" s="34" t="s">
        <v>1</v>
      </c>
      <c r="K2" s="34" t="s">
        <v>1</v>
      </c>
      <c r="L2" s="34" t="s">
        <v>1</v>
      </c>
      <c r="M2" s="34" t="s">
        <v>1</v>
      </c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6">
      <c r="A4" s="2" t="s">
        <v>2</v>
      </c>
      <c r="B4" s="3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4" t="s">
        <v>4</v>
      </c>
      <c r="B5" s="5">
        <f>SUM(Forecast!B9:M9)</f>
        <v>70500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4" t="s">
        <v>5</v>
      </c>
      <c r="B6" s="5">
        <f>SUM(Forecast!B18:M18)</f>
        <v>54735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4" t="s">
        <v>6</v>
      </c>
      <c r="B7" s="6">
        <f>IFERROR(B6/B5,0)</f>
        <v>0.77638297872340423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4" t="s">
        <v>7</v>
      </c>
      <c r="B8" s="5">
        <f>Forecast!M24</f>
        <v>52735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4" t="s">
        <v>8</v>
      </c>
      <c r="B9" s="1" t="str">
        <f>IFERROR(INDEX(Forecast!B3:M3,1,MATCH(TRUE,Forecast!B21:M21&gt;=0,0)),"Not in year 1")</f>
        <v>Not in year 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6">
      <c r="A11" s="7" t="s">
        <v>9</v>
      </c>
      <c r="B11" s="8" t="s">
        <v>10</v>
      </c>
      <c r="C11" s="8" t="s">
        <v>11</v>
      </c>
      <c r="D11" s="3" t="s">
        <v>12</v>
      </c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 t="s">
        <v>13</v>
      </c>
      <c r="B12" s="9">
        <f>Forecast!B9</f>
        <v>1750</v>
      </c>
      <c r="C12" s="9">
        <f>Forecast!B18</f>
        <v>1522.5</v>
      </c>
      <c r="D12" s="9">
        <f>Forecast!B24</f>
        <v>10522.5</v>
      </c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 t="s">
        <v>14</v>
      </c>
      <c r="B13" s="9">
        <f>Forecast!C9</f>
        <v>2500</v>
      </c>
      <c r="C13" s="9">
        <f>Forecast!C18</f>
        <v>2075</v>
      </c>
      <c r="D13" s="9">
        <f>Forecast!C24</f>
        <v>11597.5</v>
      </c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 t="s">
        <v>15</v>
      </c>
      <c r="B14" s="9">
        <f>Forecast!D9</f>
        <v>3250</v>
      </c>
      <c r="C14" s="9">
        <f>Forecast!D18</f>
        <v>2627.5</v>
      </c>
      <c r="D14" s="9">
        <f>Forecast!D24</f>
        <v>13225</v>
      </c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 t="s">
        <v>16</v>
      </c>
      <c r="B15" s="9">
        <f>Forecast!E9</f>
        <v>4000</v>
      </c>
      <c r="C15" s="9">
        <f>Forecast!E18</f>
        <v>3180</v>
      </c>
      <c r="D15" s="9">
        <f>Forecast!E24</f>
        <v>15405</v>
      </c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 t="s">
        <v>17</v>
      </c>
      <c r="B16" s="9">
        <f>Forecast!F9</f>
        <v>4750</v>
      </c>
      <c r="C16" s="9">
        <f>Forecast!F18</f>
        <v>3732.5</v>
      </c>
      <c r="D16" s="9">
        <f>Forecast!F24</f>
        <v>18137.5</v>
      </c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 t="s">
        <v>18</v>
      </c>
      <c r="B17" s="9">
        <f>Forecast!G9</f>
        <v>5500</v>
      </c>
      <c r="C17" s="9">
        <f>Forecast!G18</f>
        <v>4285</v>
      </c>
      <c r="D17" s="9">
        <f>Forecast!G24</f>
        <v>21422.5</v>
      </c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 t="s">
        <v>19</v>
      </c>
      <c r="B18" s="9">
        <f>Forecast!H9</f>
        <v>6250</v>
      </c>
      <c r="C18" s="9">
        <f>Forecast!H18</f>
        <v>4837.5</v>
      </c>
      <c r="D18" s="9">
        <f>Forecast!H24</f>
        <v>25260</v>
      </c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 t="s">
        <v>20</v>
      </c>
      <c r="B19" s="9">
        <f>Forecast!I9</f>
        <v>7000</v>
      </c>
      <c r="C19" s="9">
        <f>Forecast!I18</f>
        <v>5390</v>
      </c>
      <c r="D19" s="9">
        <f>Forecast!I24</f>
        <v>29650</v>
      </c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 t="s">
        <v>21</v>
      </c>
      <c r="B20" s="9">
        <f>Forecast!J9</f>
        <v>7750</v>
      </c>
      <c r="C20" s="9">
        <f>Forecast!J18</f>
        <v>5942.5</v>
      </c>
      <c r="D20" s="9">
        <f>Forecast!J24</f>
        <v>34592.5</v>
      </c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 t="s">
        <v>22</v>
      </c>
      <c r="B21" s="9">
        <f>Forecast!K9</f>
        <v>8500</v>
      </c>
      <c r="C21" s="9">
        <f>Forecast!K18</f>
        <v>6495</v>
      </c>
      <c r="D21" s="9">
        <f>Forecast!K24</f>
        <v>40087.5</v>
      </c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 t="s">
        <v>23</v>
      </c>
      <c r="B22" s="9">
        <f>Forecast!L9</f>
        <v>9250</v>
      </c>
      <c r="C22" s="9">
        <f>Forecast!L18</f>
        <v>7047.5</v>
      </c>
      <c r="D22" s="9">
        <f>Forecast!L24</f>
        <v>46135</v>
      </c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 t="s">
        <v>24</v>
      </c>
      <c r="B23" s="9">
        <f>Forecast!M9</f>
        <v>10000</v>
      </c>
      <c r="C23" s="9">
        <f>Forecast!M18</f>
        <v>7600</v>
      </c>
      <c r="D23" s="9">
        <f>Forecast!M24</f>
        <v>52735</v>
      </c>
      <c r="E23" s="1"/>
      <c r="F23" s="1"/>
      <c r="G23" s="1"/>
      <c r="H23" s="1"/>
      <c r="I23" s="1"/>
      <c r="J23" s="1"/>
      <c r="K23" s="1"/>
      <c r="L23" s="1"/>
      <c r="M23" s="1"/>
    </row>
  </sheetData>
  <mergeCells count="2">
    <mergeCell ref="A1:M1"/>
    <mergeCell ref="A2:M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showGridLines="0" zoomScale="140" zoomScaleNormal="140" workbookViewId="0">
      <selection sqref="A1:F1"/>
    </sheetView>
  </sheetViews>
  <sheetFormatPr baseColWidth="10" defaultColWidth="8.83203125" defaultRowHeight="15"/>
  <cols>
    <col min="1" max="1" width="34" customWidth="1"/>
    <col min="2" max="4" width="16" customWidth="1"/>
    <col min="5" max="5" width="18" customWidth="1"/>
    <col min="6" max="6" width="46" customWidth="1"/>
  </cols>
  <sheetData>
    <row r="1" spans="1:6" ht="34" customHeight="1">
      <c r="A1" s="33" t="s">
        <v>25</v>
      </c>
      <c r="B1" s="33" t="s">
        <v>25</v>
      </c>
      <c r="C1" s="33" t="s">
        <v>25</v>
      </c>
      <c r="D1" s="33" t="s">
        <v>25</v>
      </c>
      <c r="E1" s="33" t="s">
        <v>25</v>
      </c>
      <c r="F1" s="33" t="s">
        <v>25</v>
      </c>
    </row>
    <row r="2" spans="1:6" ht="30" customHeight="1">
      <c r="A2" s="34" t="s">
        <v>26</v>
      </c>
      <c r="B2" s="34" t="s">
        <v>26</v>
      </c>
      <c r="C2" s="34" t="s">
        <v>26</v>
      </c>
      <c r="D2" s="34" t="s">
        <v>26</v>
      </c>
      <c r="E2" s="34" t="s">
        <v>26</v>
      </c>
      <c r="F2" s="34" t="s">
        <v>26</v>
      </c>
    </row>
    <row r="3" spans="1:6">
      <c r="A3" s="1"/>
      <c r="B3" s="1"/>
      <c r="C3" s="1"/>
      <c r="D3" s="1"/>
      <c r="E3" s="1"/>
      <c r="F3" s="1"/>
    </row>
    <row r="4" spans="1:6" ht="16">
      <c r="A4" s="7" t="s">
        <v>27</v>
      </c>
      <c r="B4" s="8" t="s">
        <v>3</v>
      </c>
      <c r="C4" s="8" t="s">
        <v>28</v>
      </c>
      <c r="D4" s="8" t="s">
        <v>29</v>
      </c>
      <c r="E4" s="8" t="s">
        <v>30</v>
      </c>
      <c r="F4" s="3" t="s">
        <v>31</v>
      </c>
    </row>
    <row r="5" spans="1:6">
      <c r="A5" s="1" t="s">
        <v>32</v>
      </c>
      <c r="B5" s="10">
        <v>0</v>
      </c>
      <c r="C5" s="11">
        <v>0</v>
      </c>
      <c r="D5" s="12">
        <v>0</v>
      </c>
      <c r="E5" s="1" t="s">
        <v>33</v>
      </c>
      <c r="F5" s="1" t="s">
        <v>34</v>
      </c>
    </row>
    <row r="6" spans="1:6">
      <c r="A6" s="1" t="s">
        <v>35</v>
      </c>
      <c r="B6" s="13">
        <v>1</v>
      </c>
      <c r="C6" s="14">
        <v>0</v>
      </c>
      <c r="D6" s="15">
        <v>2</v>
      </c>
      <c r="E6" s="1" t="s">
        <v>33</v>
      </c>
      <c r="F6" s="1" t="s">
        <v>36</v>
      </c>
    </row>
    <row r="7" spans="1:6">
      <c r="A7" s="1" t="s">
        <v>37</v>
      </c>
      <c r="B7" s="16">
        <v>0.15</v>
      </c>
      <c r="C7" s="17">
        <v>0.05</v>
      </c>
      <c r="D7" s="18">
        <v>0.25</v>
      </c>
      <c r="E7" s="1" t="s">
        <v>38</v>
      </c>
      <c r="F7" s="1" t="s">
        <v>36</v>
      </c>
    </row>
    <row r="8" spans="1:6">
      <c r="A8" s="1" t="s">
        <v>39</v>
      </c>
      <c r="B8" s="16">
        <v>0.03</v>
      </c>
      <c r="C8" s="17">
        <v>0.06</v>
      </c>
      <c r="D8" s="18">
        <v>0.02</v>
      </c>
      <c r="E8" s="1" t="s">
        <v>38</v>
      </c>
      <c r="F8" s="1" t="s">
        <v>36</v>
      </c>
    </row>
    <row r="9" spans="1:6">
      <c r="A9" s="1" t="s">
        <v>40</v>
      </c>
      <c r="B9" s="19">
        <v>750</v>
      </c>
      <c r="C9" s="20">
        <v>500</v>
      </c>
      <c r="D9" s="21">
        <v>1000</v>
      </c>
      <c r="E9" s="1" t="s">
        <v>41</v>
      </c>
      <c r="F9" s="1" t="s">
        <v>42</v>
      </c>
    </row>
    <row r="10" spans="1:6">
      <c r="A10" s="1" t="s">
        <v>43</v>
      </c>
      <c r="B10" s="19">
        <v>1000</v>
      </c>
      <c r="C10" s="20">
        <v>500</v>
      </c>
      <c r="D10" s="21">
        <v>1500</v>
      </c>
      <c r="E10" s="1" t="s">
        <v>44</v>
      </c>
      <c r="F10" s="1" t="s">
        <v>42</v>
      </c>
    </row>
    <row r="11" spans="1:6">
      <c r="A11" s="1" t="s">
        <v>45</v>
      </c>
      <c r="B11" s="13">
        <v>3</v>
      </c>
      <c r="C11" s="14">
        <v>5</v>
      </c>
      <c r="D11" s="15">
        <v>2</v>
      </c>
      <c r="E11" s="1" t="s">
        <v>46</v>
      </c>
      <c r="F11" s="1" t="s">
        <v>47</v>
      </c>
    </row>
    <row r="12" spans="1:6">
      <c r="A12" s="1" t="s">
        <v>48</v>
      </c>
      <c r="B12" s="19">
        <v>50</v>
      </c>
      <c r="C12" s="20">
        <v>50</v>
      </c>
      <c r="D12" s="21">
        <v>50</v>
      </c>
      <c r="E12" s="1" t="s">
        <v>49</v>
      </c>
      <c r="F12" s="1" t="s">
        <v>50</v>
      </c>
    </row>
    <row r="13" spans="1:6">
      <c r="A13" s="1" t="s">
        <v>51</v>
      </c>
      <c r="B13" s="19">
        <v>25</v>
      </c>
      <c r="C13" s="20">
        <v>40</v>
      </c>
      <c r="D13" s="21">
        <v>20</v>
      </c>
      <c r="E13" s="1" t="s">
        <v>52</v>
      </c>
      <c r="F13" s="1" t="s">
        <v>53</v>
      </c>
    </row>
    <row r="14" spans="1:6">
      <c r="A14" s="1" t="s">
        <v>54</v>
      </c>
      <c r="B14" s="16">
        <v>0.03</v>
      </c>
      <c r="C14" s="17">
        <v>3.5000000000000003E-2</v>
      </c>
      <c r="D14" s="18">
        <v>2.5000000000000001E-2</v>
      </c>
      <c r="E14" s="1" t="s">
        <v>55</v>
      </c>
      <c r="F14" s="1" t="s">
        <v>56</v>
      </c>
    </row>
    <row r="15" spans="1:6">
      <c r="A15" s="1" t="s">
        <v>57</v>
      </c>
      <c r="B15" s="19">
        <v>250</v>
      </c>
      <c r="C15" s="20">
        <v>300</v>
      </c>
      <c r="D15" s="21">
        <v>300</v>
      </c>
      <c r="E15" s="1" t="s">
        <v>52</v>
      </c>
      <c r="F15" s="1" t="s">
        <v>58</v>
      </c>
    </row>
    <row r="16" spans="1:6">
      <c r="A16" s="1" t="s">
        <v>59</v>
      </c>
      <c r="B16" s="19">
        <v>500</v>
      </c>
      <c r="C16" s="20">
        <v>300</v>
      </c>
      <c r="D16" s="21">
        <v>1000</v>
      </c>
      <c r="E16" s="1" t="s">
        <v>52</v>
      </c>
      <c r="F16" s="1" t="s">
        <v>60</v>
      </c>
    </row>
    <row r="17" spans="1:6">
      <c r="A17" s="1" t="s">
        <v>61</v>
      </c>
      <c r="B17" s="19">
        <v>250</v>
      </c>
      <c r="C17" s="20">
        <v>300</v>
      </c>
      <c r="D17" s="21">
        <v>350</v>
      </c>
      <c r="E17" s="1" t="s">
        <v>52</v>
      </c>
      <c r="F17" s="1" t="s">
        <v>62</v>
      </c>
    </row>
    <row r="18" spans="1:6">
      <c r="A18" s="1" t="s">
        <v>63</v>
      </c>
      <c r="B18" s="22">
        <v>10000</v>
      </c>
      <c r="C18" s="23">
        <v>10000</v>
      </c>
      <c r="D18" s="24">
        <v>10000</v>
      </c>
      <c r="E18" s="1" t="s">
        <v>64</v>
      </c>
      <c r="F18" s="1" t="s">
        <v>65</v>
      </c>
    </row>
    <row r="19" spans="1:6">
      <c r="A19" s="1"/>
      <c r="B19" s="1"/>
      <c r="C19" s="1"/>
      <c r="D19" s="1"/>
      <c r="E19" s="1"/>
      <c r="F19" s="1"/>
    </row>
    <row r="20" spans="1:6">
      <c r="A20" s="35" t="s">
        <v>66</v>
      </c>
      <c r="B20" s="35" t="s">
        <v>66</v>
      </c>
      <c r="C20" s="35" t="s">
        <v>66</v>
      </c>
      <c r="D20" s="35" t="s">
        <v>66</v>
      </c>
      <c r="E20" s="35" t="s">
        <v>66</v>
      </c>
      <c r="F20" s="35" t="s">
        <v>66</v>
      </c>
    </row>
    <row r="21" spans="1:6">
      <c r="A21" s="1" t="s">
        <v>67</v>
      </c>
      <c r="B21" s="36" t="s">
        <v>68</v>
      </c>
      <c r="C21" s="36"/>
      <c r="D21" s="36"/>
      <c r="E21" s="36"/>
      <c r="F21" s="36"/>
    </row>
    <row r="22" spans="1:6">
      <c r="A22" s="1" t="s">
        <v>69</v>
      </c>
      <c r="B22" s="36" t="s">
        <v>70</v>
      </c>
      <c r="C22" s="36"/>
      <c r="D22" s="36"/>
      <c r="E22" s="36"/>
      <c r="F22" s="36"/>
    </row>
    <row r="23" spans="1:6">
      <c r="A23" s="1" t="s">
        <v>71</v>
      </c>
      <c r="B23" s="36" t="s">
        <v>72</v>
      </c>
      <c r="C23" s="36"/>
      <c r="D23" s="36"/>
      <c r="E23" s="36"/>
      <c r="F23" s="36"/>
    </row>
  </sheetData>
  <mergeCells count="6">
    <mergeCell ref="B23:F23"/>
    <mergeCell ref="A1:F1"/>
    <mergeCell ref="A2:F2"/>
    <mergeCell ref="A20:F20"/>
    <mergeCell ref="B21:F21"/>
    <mergeCell ref="B22:F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showGridLines="0" zoomScale="130" zoomScaleNormal="130" workbookViewId="0">
      <selection sqref="A1:M1"/>
    </sheetView>
  </sheetViews>
  <sheetFormatPr baseColWidth="10" defaultColWidth="8.83203125" defaultRowHeight="15"/>
  <cols>
    <col min="1" max="1" width="28" customWidth="1"/>
    <col min="2" max="13" width="12" customWidth="1"/>
  </cols>
  <sheetData>
    <row r="1" spans="1:13" ht="34" customHeight="1">
      <c r="A1" s="33" t="s">
        <v>73</v>
      </c>
      <c r="B1" s="33" t="s">
        <v>73</v>
      </c>
      <c r="C1" s="33" t="s">
        <v>73</v>
      </c>
      <c r="D1" s="33" t="s">
        <v>73</v>
      </c>
      <c r="E1" s="33" t="s">
        <v>73</v>
      </c>
      <c r="F1" s="33" t="s">
        <v>73</v>
      </c>
      <c r="G1" s="33" t="s">
        <v>73</v>
      </c>
      <c r="H1" s="33" t="s">
        <v>73</v>
      </c>
      <c r="I1" s="33" t="s">
        <v>73</v>
      </c>
      <c r="J1" s="33" t="s">
        <v>73</v>
      </c>
      <c r="K1" s="33" t="s">
        <v>73</v>
      </c>
      <c r="L1" s="33" t="s">
        <v>73</v>
      </c>
      <c r="M1" s="33" t="s">
        <v>73</v>
      </c>
    </row>
    <row r="2" spans="1:13" ht="30" customHeight="1">
      <c r="A2" s="34" t="s">
        <v>74</v>
      </c>
      <c r="B2" s="34" t="s">
        <v>74</v>
      </c>
      <c r="C2" s="34" t="s">
        <v>74</v>
      </c>
      <c r="D2" s="34" t="s">
        <v>74</v>
      </c>
      <c r="E2" s="34" t="s">
        <v>74</v>
      </c>
      <c r="F2" s="34" t="s">
        <v>74</v>
      </c>
      <c r="G2" s="34" t="s">
        <v>74</v>
      </c>
      <c r="H2" s="34" t="s">
        <v>74</v>
      </c>
      <c r="I2" s="34" t="s">
        <v>74</v>
      </c>
      <c r="J2" s="34" t="s">
        <v>74</v>
      </c>
      <c r="K2" s="34" t="s">
        <v>74</v>
      </c>
      <c r="L2" s="34" t="s">
        <v>74</v>
      </c>
      <c r="M2" s="34" t="s">
        <v>74</v>
      </c>
    </row>
    <row r="3" spans="1:13" ht="16">
      <c r="A3" s="7" t="s">
        <v>75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21</v>
      </c>
      <c r="K3" s="8" t="s">
        <v>22</v>
      </c>
      <c r="L3" s="8" t="s">
        <v>23</v>
      </c>
      <c r="M3" s="3" t="s">
        <v>24</v>
      </c>
    </row>
    <row r="4" spans="1:13">
      <c r="A4" s="1" t="s">
        <v>76</v>
      </c>
      <c r="B4" s="25">
        <f>Assumptions!B5</f>
        <v>0</v>
      </c>
      <c r="C4" s="25">
        <f t="shared" ref="C4:M4" si="0">B7</f>
        <v>1</v>
      </c>
      <c r="D4" s="25">
        <f t="shared" si="0"/>
        <v>2</v>
      </c>
      <c r="E4" s="25">
        <f t="shared" si="0"/>
        <v>3</v>
      </c>
      <c r="F4" s="25">
        <f t="shared" si="0"/>
        <v>4</v>
      </c>
      <c r="G4" s="25">
        <f t="shared" si="0"/>
        <v>5</v>
      </c>
      <c r="H4" s="25">
        <f t="shared" si="0"/>
        <v>6</v>
      </c>
      <c r="I4" s="25">
        <f t="shared" si="0"/>
        <v>7</v>
      </c>
      <c r="J4" s="25">
        <f t="shared" si="0"/>
        <v>8</v>
      </c>
      <c r="K4" s="25">
        <f t="shared" si="0"/>
        <v>9</v>
      </c>
      <c r="L4" s="25">
        <f t="shared" si="0"/>
        <v>10</v>
      </c>
      <c r="M4" s="25">
        <f t="shared" si="0"/>
        <v>11</v>
      </c>
    </row>
    <row r="5" spans="1:13">
      <c r="A5" s="1" t="s">
        <v>77</v>
      </c>
      <c r="B5" s="25">
        <f>Assumptions!B6</f>
        <v>1</v>
      </c>
      <c r="C5" s="25">
        <f>MAX(0,ROUND(B5*(1+Assumptions!$B$7),0))</f>
        <v>1</v>
      </c>
      <c r="D5" s="25">
        <f>MAX(0,ROUND(C5*(1+Assumptions!$B$7),0))</f>
        <v>1</v>
      </c>
      <c r="E5" s="25">
        <f>MAX(0,ROUND(D5*(1+Assumptions!$B$7),0))</f>
        <v>1</v>
      </c>
      <c r="F5" s="25">
        <f>MAX(0,ROUND(E5*(1+Assumptions!$B$7),0))</f>
        <v>1</v>
      </c>
      <c r="G5" s="25">
        <f>MAX(0,ROUND(F5*(1+Assumptions!$B$7),0))</f>
        <v>1</v>
      </c>
      <c r="H5" s="25">
        <f>MAX(0,ROUND(G5*(1+Assumptions!$B$7),0))</f>
        <v>1</v>
      </c>
      <c r="I5" s="25">
        <f>MAX(0,ROUND(H5*(1+Assumptions!$B$7),0))</f>
        <v>1</v>
      </c>
      <c r="J5" s="25">
        <f>MAX(0,ROUND(I5*(1+Assumptions!$B$7),0))</f>
        <v>1</v>
      </c>
      <c r="K5" s="25">
        <f>MAX(0,ROUND(J5*(1+Assumptions!$B$7),0))</f>
        <v>1</v>
      </c>
      <c r="L5" s="25">
        <f>MAX(0,ROUND(K5*(1+Assumptions!$B$7),0))</f>
        <v>1</v>
      </c>
      <c r="M5" s="25">
        <f>MAX(0,ROUND(L5*(1+Assumptions!$B$7),0))</f>
        <v>1</v>
      </c>
    </row>
    <row r="6" spans="1:13">
      <c r="A6" s="1" t="s">
        <v>78</v>
      </c>
      <c r="B6" s="25">
        <f>MIN(B4,ROUND(B4*Assumptions!$B$8,0))</f>
        <v>0</v>
      </c>
      <c r="C6" s="25">
        <f>MIN(C4,ROUND(C4*Assumptions!$B$8,0))</f>
        <v>0</v>
      </c>
      <c r="D6" s="25">
        <f>MIN(D4,ROUND(D4*Assumptions!$B$8,0))</f>
        <v>0</v>
      </c>
      <c r="E6" s="25">
        <f>MIN(E4,ROUND(E4*Assumptions!$B$8,0))</f>
        <v>0</v>
      </c>
      <c r="F6" s="25">
        <f>MIN(F4,ROUND(F4*Assumptions!$B$8,0))</f>
        <v>0</v>
      </c>
      <c r="G6" s="25">
        <f>MIN(G4,ROUND(G4*Assumptions!$B$8,0))</f>
        <v>0</v>
      </c>
      <c r="H6" s="25">
        <f>MIN(H4,ROUND(H4*Assumptions!$B$8,0))</f>
        <v>0</v>
      </c>
      <c r="I6" s="25">
        <f>MIN(I4,ROUND(I4*Assumptions!$B$8,0))</f>
        <v>0</v>
      </c>
      <c r="J6" s="25">
        <f>MIN(J4,ROUND(J4*Assumptions!$B$8,0))</f>
        <v>0</v>
      </c>
      <c r="K6" s="25">
        <f>MIN(K4,ROUND(K4*Assumptions!$B$8,0))</f>
        <v>0</v>
      </c>
      <c r="L6" s="25">
        <f>MIN(L4,ROUND(L4*Assumptions!$B$8,0))</f>
        <v>0</v>
      </c>
      <c r="M6" s="25">
        <f>MIN(M4,ROUND(M4*Assumptions!$B$8,0))</f>
        <v>0</v>
      </c>
    </row>
    <row r="7" spans="1:13">
      <c r="A7" s="1" t="s">
        <v>79</v>
      </c>
      <c r="B7" s="25">
        <f t="shared" ref="B7:M7" si="1">B4+B5-B6</f>
        <v>1</v>
      </c>
      <c r="C7" s="25">
        <f t="shared" si="1"/>
        <v>2</v>
      </c>
      <c r="D7" s="25">
        <f t="shared" si="1"/>
        <v>3</v>
      </c>
      <c r="E7" s="25">
        <f t="shared" si="1"/>
        <v>4</v>
      </c>
      <c r="F7" s="25">
        <f t="shared" si="1"/>
        <v>5</v>
      </c>
      <c r="G7" s="25">
        <f t="shared" si="1"/>
        <v>6</v>
      </c>
      <c r="H7" s="25">
        <f t="shared" si="1"/>
        <v>7</v>
      </c>
      <c r="I7" s="25">
        <f t="shared" si="1"/>
        <v>8</v>
      </c>
      <c r="J7" s="25">
        <f t="shared" si="1"/>
        <v>9</v>
      </c>
      <c r="K7" s="25">
        <f t="shared" si="1"/>
        <v>10</v>
      </c>
      <c r="L7" s="25">
        <f t="shared" si="1"/>
        <v>11</v>
      </c>
      <c r="M7" s="25">
        <f t="shared" si="1"/>
        <v>12</v>
      </c>
    </row>
    <row r="8" spans="1: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26" t="s">
        <v>10</v>
      </c>
      <c r="B9" s="27">
        <f t="shared" ref="B9:M9" si="2">SUM(B10:B11)</f>
        <v>1750</v>
      </c>
      <c r="C9" s="27">
        <f t="shared" si="2"/>
        <v>2500</v>
      </c>
      <c r="D9" s="27">
        <f t="shared" si="2"/>
        <v>3250</v>
      </c>
      <c r="E9" s="27">
        <f t="shared" si="2"/>
        <v>4000</v>
      </c>
      <c r="F9" s="27">
        <f t="shared" si="2"/>
        <v>4750</v>
      </c>
      <c r="G9" s="27">
        <f t="shared" si="2"/>
        <v>5500</v>
      </c>
      <c r="H9" s="27">
        <f t="shared" si="2"/>
        <v>6250</v>
      </c>
      <c r="I9" s="27">
        <f t="shared" si="2"/>
        <v>7000</v>
      </c>
      <c r="J9" s="27">
        <f t="shared" si="2"/>
        <v>7750</v>
      </c>
      <c r="K9" s="27">
        <f t="shared" si="2"/>
        <v>8500</v>
      </c>
      <c r="L9" s="27">
        <f t="shared" si="2"/>
        <v>9250</v>
      </c>
      <c r="M9" s="27">
        <f t="shared" si="2"/>
        <v>10000</v>
      </c>
    </row>
    <row r="10" spans="1:13">
      <c r="A10" s="1" t="s">
        <v>80</v>
      </c>
      <c r="B10" s="9">
        <f>B7*Assumptions!$B$9</f>
        <v>750</v>
      </c>
      <c r="C10" s="9">
        <f>C7*Assumptions!$B$9</f>
        <v>1500</v>
      </c>
      <c r="D10" s="9">
        <f>D7*Assumptions!$B$9</f>
        <v>2250</v>
      </c>
      <c r="E10" s="9">
        <f>E7*Assumptions!$B$9</f>
        <v>3000</v>
      </c>
      <c r="F10" s="9">
        <f>F7*Assumptions!$B$9</f>
        <v>3750</v>
      </c>
      <c r="G10" s="9">
        <f>G7*Assumptions!$B$9</f>
        <v>4500</v>
      </c>
      <c r="H10" s="9">
        <f>H7*Assumptions!$B$9</f>
        <v>5250</v>
      </c>
      <c r="I10" s="9">
        <f>I7*Assumptions!$B$9</f>
        <v>6000</v>
      </c>
      <c r="J10" s="9">
        <f>J7*Assumptions!$B$9</f>
        <v>6750</v>
      </c>
      <c r="K10" s="9">
        <f>K7*Assumptions!$B$9</f>
        <v>7500</v>
      </c>
      <c r="L10" s="9">
        <f>L7*Assumptions!$B$9</f>
        <v>8250</v>
      </c>
      <c r="M10" s="9">
        <f>M7*Assumptions!$B$9</f>
        <v>9000</v>
      </c>
    </row>
    <row r="11" spans="1:13">
      <c r="A11" s="1" t="s">
        <v>81</v>
      </c>
      <c r="B11" s="9">
        <f>B5*Assumptions!$B$10</f>
        <v>1000</v>
      </c>
      <c r="C11" s="9">
        <f>C5*Assumptions!$B$10</f>
        <v>1000</v>
      </c>
      <c r="D11" s="9">
        <f>D5*Assumptions!$B$10</f>
        <v>1000</v>
      </c>
      <c r="E11" s="9">
        <f>E5*Assumptions!$B$10</f>
        <v>1000</v>
      </c>
      <c r="F11" s="9">
        <f>F5*Assumptions!$B$10</f>
        <v>1000</v>
      </c>
      <c r="G11" s="9">
        <f>G5*Assumptions!$B$10</f>
        <v>1000</v>
      </c>
      <c r="H11" s="9">
        <f>H5*Assumptions!$B$10</f>
        <v>1000</v>
      </c>
      <c r="I11" s="9">
        <f>I5*Assumptions!$B$10</f>
        <v>1000</v>
      </c>
      <c r="J11" s="9">
        <f>J5*Assumptions!$B$10</f>
        <v>1000</v>
      </c>
      <c r="K11" s="9">
        <f>K5*Assumptions!$B$10</f>
        <v>1000</v>
      </c>
      <c r="L11" s="9">
        <f>L5*Assumptions!$B$10</f>
        <v>1000</v>
      </c>
      <c r="M11" s="9">
        <f>M5*Assumptions!$B$10</f>
        <v>1000</v>
      </c>
    </row>
    <row r="12" spans="1:13">
      <c r="A12" s="1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>
      <c r="A13" s="1" t="s">
        <v>82</v>
      </c>
      <c r="B13" s="9">
        <f t="shared" ref="B13:M13" si="3">SUM(B14:B16)</f>
        <v>227.5</v>
      </c>
      <c r="C13" s="9">
        <f t="shared" si="3"/>
        <v>425</v>
      </c>
      <c r="D13" s="9">
        <f t="shared" si="3"/>
        <v>622.5</v>
      </c>
      <c r="E13" s="9">
        <f t="shared" si="3"/>
        <v>820</v>
      </c>
      <c r="F13" s="9">
        <f t="shared" si="3"/>
        <v>1017.5</v>
      </c>
      <c r="G13" s="9">
        <f t="shared" si="3"/>
        <v>1215</v>
      </c>
      <c r="H13" s="9">
        <f t="shared" si="3"/>
        <v>1412.5</v>
      </c>
      <c r="I13" s="9">
        <f t="shared" si="3"/>
        <v>1610</v>
      </c>
      <c r="J13" s="9">
        <f t="shared" si="3"/>
        <v>1807.5</v>
      </c>
      <c r="K13" s="9">
        <f t="shared" si="3"/>
        <v>2005</v>
      </c>
      <c r="L13" s="9">
        <f t="shared" si="3"/>
        <v>2202.5</v>
      </c>
      <c r="M13" s="9">
        <f t="shared" si="3"/>
        <v>2400</v>
      </c>
    </row>
    <row r="14" spans="1:13">
      <c r="A14" s="1" t="s">
        <v>83</v>
      </c>
      <c r="B14" s="9">
        <f>B7*Assumptions!$B$11*Assumptions!$B$12</f>
        <v>150</v>
      </c>
      <c r="C14" s="9">
        <f>C7*Assumptions!$B$11*Assumptions!$B$12</f>
        <v>300</v>
      </c>
      <c r="D14" s="9">
        <f>D7*Assumptions!$B$11*Assumptions!$B$12</f>
        <v>450</v>
      </c>
      <c r="E14" s="9">
        <f>E7*Assumptions!$B$11*Assumptions!$B$12</f>
        <v>600</v>
      </c>
      <c r="F14" s="9">
        <f>F7*Assumptions!$B$11*Assumptions!$B$12</f>
        <v>750</v>
      </c>
      <c r="G14" s="9">
        <f>G7*Assumptions!$B$11*Assumptions!$B$12</f>
        <v>900</v>
      </c>
      <c r="H14" s="9">
        <f>H7*Assumptions!$B$11*Assumptions!$B$12</f>
        <v>1050</v>
      </c>
      <c r="I14" s="9">
        <f>I7*Assumptions!$B$11*Assumptions!$B$12</f>
        <v>1200</v>
      </c>
      <c r="J14" s="9">
        <f>J7*Assumptions!$B$11*Assumptions!$B$12</f>
        <v>1350</v>
      </c>
      <c r="K14" s="9">
        <f>K7*Assumptions!$B$11*Assumptions!$B$12</f>
        <v>1500</v>
      </c>
      <c r="L14" s="9">
        <f>L7*Assumptions!$B$11*Assumptions!$B$12</f>
        <v>1650</v>
      </c>
      <c r="M14" s="9">
        <f>M7*Assumptions!$B$11*Assumptions!$B$12</f>
        <v>1800</v>
      </c>
    </row>
    <row r="15" spans="1:13">
      <c r="A15" s="1" t="s">
        <v>84</v>
      </c>
      <c r="B15" s="9">
        <f>B7*Assumptions!$B$13</f>
        <v>25</v>
      </c>
      <c r="C15" s="9">
        <f>C7*Assumptions!$B$13</f>
        <v>50</v>
      </c>
      <c r="D15" s="9">
        <f>D7*Assumptions!$B$13</f>
        <v>75</v>
      </c>
      <c r="E15" s="9">
        <f>E7*Assumptions!$B$13</f>
        <v>100</v>
      </c>
      <c r="F15" s="9">
        <f>F7*Assumptions!$B$13</f>
        <v>125</v>
      </c>
      <c r="G15" s="9">
        <f>G7*Assumptions!$B$13</f>
        <v>150</v>
      </c>
      <c r="H15" s="9">
        <f>H7*Assumptions!$B$13</f>
        <v>175</v>
      </c>
      <c r="I15" s="9">
        <f>I7*Assumptions!$B$13</f>
        <v>200</v>
      </c>
      <c r="J15" s="9">
        <f>J7*Assumptions!$B$13</f>
        <v>225</v>
      </c>
      <c r="K15" s="9">
        <f>K7*Assumptions!$B$13</f>
        <v>250</v>
      </c>
      <c r="L15" s="9">
        <f>L7*Assumptions!$B$13</f>
        <v>275</v>
      </c>
      <c r="M15" s="9">
        <f>M7*Assumptions!$B$13</f>
        <v>300</v>
      </c>
    </row>
    <row r="16" spans="1:13">
      <c r="A16" s="1" t="s">
        <v>85</v>
      </c>
      <c r="B16" s="9">
        <f>B9*Assumptions!$B$14</f>
        <v>52.5</v>
      </c>
      <c r="C16" s="9">
        <f>C9*Assumptions!$B$14</f>
        <v>75</v>
      </c>
      <c r="D16" s="9">
        <f>D9*Assumptions!$B$14</f>
        <v>97.5</v>
      </c>
      <c r="E16" s="9">
        <f>E9*Assumptions!$B$14</f>
        <v>120</v>
      </c>
      <c r="F16" s="9">
        <f>F9*Assumptions!$B$14</f>
        <v>142.5</v>
      </c>
      <c r="G16" s="9">
        <f>G9*Assumptions!$B$14</f>
        <v>165</v>
      </c>
      <c r="H16" s="9">
        <f>H9*Assumptions!$B$14</f>
        <v>187.5</v>
      </c>
      <c r="I16" s="9">
        <f>I9*Assumptions!$B$14</f>
        <v>210</v>
      </c>
      <c r="J16" s="9">
        <f>J9*Assumptions!$B$14</f>
        <v>232.5</v>
      </c>
      <c r="K16" s="9">
        <f>K9*Assumptions!$B$14</f>
        <v>255</v>
      </c>
      <c r="L16" s="9">
        <f>L9*Assumptions!$B$14</f>
        <v>277.5</v>
      </c>
      <c r="M16" s="9">
        <f>M9*Assumptions!$B$14</f>
        <v>300</v>
      </c>
    </row>
    <row r="17" spans="1:13">
      <c r="A17" s="1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>
      <c r="A18" s="28" t="s">
        <v>11</v>
      </c>
      <c r="B18" s="5">
        <f t="shared" ref="B18:M18" si="4">B9-B13</f>
        <v>1522.5</v>
      </c>
      <c r="C18" s="5">
        <f t="shared" si="4"/>
        <v>2075</v>
      </c>
      <c r="D18" s="5">
        <f t="shared" si="4"/>
        <v>2627.5</v>
      </c>
      <c r="E18" s="5">
        <f t="shared" si="4"/>
        <v>3180</v>
      </c>
      <c r="F18" s="5">
        <f t="shared" si="4"/>
        <v>3732.5</v>
      </c>
      <c r="G18" s="5">
        <f t="shared" si="4"/>
        <v>4285</v>
      </c>
      <c r="H18" s="5">
        <f t="shared" si="4"/>
        <v>4837.5</v>
      </c>
      <c r="I18" s="5">
        <f t="shared" si="4"/>
        <v>5390</v>
      </c>
      <c r="J18" s="5">
        <f t="shared" si="4"/>
        <v>5942.5</v>
      </c>
      <c r="K18" s="5">
        <f t="shared" si="4"/>
        <v>6495</v>
      </c>
      <c r="L18" s="5">
        <f t="shared" si="4"/>
        <v>7047.5</v>
      </c>
      <c r="M18" s="5">
        <f t="shared" si="4"/>
        <v>7600</v>
      </c>
    </row>
    <row r="19" spans="1:13">
      <c r="A19" s="1" t="s">
        <v>6</v>
      </c>
      <c r="B19" s="29">
        <f t="shared" ref="B19:M19" si="5">IFERROR(B18/B9,0)</f>
        <v>0.87</v>
      </c>
      <c r="C19" s="29">
        <f t="shared" si="5"/>
        <v>0.83</v>
      </c>
      <c r="D19" s="29">
        <f t="shared" si="5"/>
        <v>0.80846153846153845</v>
      </c>
      <c r="E19" s="29">
        <f t="shared" si="5"/>
        <v>0.79500000000000004</v>
      </c>
      <c r="F19" s="29">
        <f t="shared" si="5"/>
        <v>0.78578947368421048</v>
      </c>
      <c r="G19" s="29">
        <f t="shared" si="5"/>
        <v>0.77909090909090906</v>
      </c>
      <c r="H19" s="29">
        <f t="shared" si="5"/>
        <v>0.77400000000000002</v>
      </c>
      <c r="I19" s="29">
        <f t="shared" si="5"/>
        <v>0.77</v>
      </c>
      <c r="J19" s="29">
        <f t="shared" si="5"/>
        <v>0.76677419354838705</v>
      </c>
      <c r="K19" s="29">
        <f t="shared" si="5"/>
        <v>0.76411764705882357</v>
      </c>
      <c r="L19" s="29">
        <f t="shared" si="5"/>
        <v>0.76189189189189188</v>
      </c>
      <c r="M19" s="29">
        <f t="shared" si="5"/>
        <v>0.76</v>
      </c>
    </row>
    <row r="20" spans="1:13">
      <c r="A20" s="1" t="s">
        <v>86</v>
      </c>
      <c r="B20" s="9">
        <f>SUM(Assumptions!$B$15:$B$17)</f>
        <v>1000</v>
      </c>
      <c r="C20" s="9">
        <f>SUM(Assumptions!$B$15:$B$17)</f>
        <v>1000</v>
      </c>
      <c r="D20" s="9">
        <f>SUM(Assumptions!$B$15:$B$17)</f>
        <v>1000</v>
      </c>
      <c r="E20" s="9">
        <f>SUM(Assumptions!$B$15:$B$17)</f>
        <v>1000</v>
      </c>
      <c r="F20" s="9">
        <f>SUM(Assumptions!$B$15:$B$17)</f>
        <v>1000</v>
      </c>
      <c r="G20" s="9">
        <f>SUM(Assumptions!$B$15:$B$17)</f>
        <v>1000</v>
      </c>
      <c r="H20" s="9">
        <f>SUM(Assumptions!$B$15:$B$17)</f>
        <v>1000</v>
      </c>
      <c r="I20" s="9">
        <f>SUM(Assumptions!$B$15:$B$17)</f>
        <v>1000</v>
      </c>
      <c r="J20" s="9">
        <f>SUM(Assumptions!$B$15:$B$17)</f>
        <v>1000</v>
      </c>
      <c r="K20" s="9">
        <f>SUM(Assumptions!$B$15:$B$17)</f>
        <v>1000</v>
      </c>
      <c r="L20" s="9">
        <f>SUM(Assumptions!$B$15:$B$17)</f>
        <v>1000</v>
      </c>
      <c r="M20" s="9">
        <f>SUM(Assumptions!$B$15:$B$17)</f>
        <v>1000</v>
      </c>
    </row>
    <row r="21" spans="1:13">
      <c r="A21" s="30" t="s">
        <v>87</v>
      </c>
      <c r="B21" s="31">
        <f t="shared" ref="B21:M21" si="6">B18-B20</f>
        <v>522.5</v>
      </c>
      <c r="C21" s="31">
        <f t="shared" si="6"/>
        <v>1075</v>
      </c>
      <c r="D21" s="31">
        <f t="shared" si="6"/>
        <v>1627.5</v>
      </c>
      <c r="E21" s="31">
        <f t="shared" si="6"/>
        <v>2180</v>
      </c>
      <c r="F21" s="31">
        <f t="shared" si="6"/>
        <v>2732.5</v>
      </c>
      <c r="G21" s="31">
        <f t="shared" si="6"/>
        <v>3285</v>
      </c>
      <c r="H21" s="31">
        <f t="shared" si="6"/>
        <v>3837.5</v>
      </c>
      <c r="I21" s="31">
        <f t="shared" si="6"/>
        <v>4390</v>
      </c>
      <c r="J21" s="31">
        <f t="shared" si="6"/>
        <v>4942.5</v>
      </c>
      <c r="K21" s="31">
        <f t="shared" si="6"/>
        <v>5495</v>
      </c>
      <c r="L21" s="31">
        <f t="shared" si="6"/>
        <v>6047.5</v>
      </c>
      <c r="M21" s="31">
        <f t="shared" si="6"/>
        <v>6600</v>
      </c>
    </row>
    <row r="22" spans="1:13">
      <c r="A22" s="1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>
      <c r="A23" s="1" t="s">
        <v>63</v>
      </c>
      <c r="B23" s="9">
        <f>Assumptions!$B$18</f>
        <v>10000</v>
      </c>
      <c r="C23" s="9">
        <f t="shared" ref="C23:M23" si="7">B24</f>
        <v>10522.5</v>
      </c>
      <c r="D23" s="9">
        <f t="shared" si="7"/>
        <v>11597.5</v>
      </c>
      <c r="E23" s="9">
        <f t="shared" si="7"/>
        <v>13225</v>
      </c>
      <c r="F23" s="9">
        <f t="shared" si="7"/>
        <v>15405</v>
      </c>
      <c r="G23" s="9">
        <f t="shared" si="7"/>
        <v>18137.5</v>
      </c>
      <c r="H23" s="9">
        <f t="shared" si="7"/>
        <v>21422.5</v>
      </c>
      <c r="I23" s="9">
        <f t="shared" si="7"/>
        <v>25260</v>
      </c>
      <c r="J23" s="9">
        <f t="shared" si="7"/>
        <v>29650</v>
      </c>
      <c r="K23" s="9">
        <f t="shared" si="7"/>
        <v>34592.5</v>
      </c>
      <c r="L23" s="9">
        <f t="shared" si="7"/>
        <v>40087.5</v>
      </c>
      <c r="M23" s="9">
        <f t="shared" si="7"/>
        <v>46135</v>
      </c>
    </row>
    <row r="24" spans="1:13">
      <c r="A24" s="26" t="s">
        <v>12</v>
      </c>
      <c r="B24" s="27">
        <f t="shared" ref="B24:M24" si="8">B23+B21</f>
        <v>10522.5</v>
      </c>
      <c r="C24" s="27">
        <f t="shared" si="8"/>
        <v>11597.5</v>
      </c>
      <c r="D24" s="27">
        <f t="shared" si="8"/>
        <v>13225</v>
      </c>
      <c r="E24" s="27">
        <f t="shared" si="8"/>
        <v>15405</v>
      </c>
      <c r="F24" s="27">
        <f t="shared" si="8"/>
        <v>18137.5</v>
      </c>
      <c r="G24" s="27">
        <f t="shared" si="8"/>
        <v>21422.5</v>
      </c>
      <c r="H24" s="27">
        <f t="shared" si="8"/>
        <v>25260</v>
      </c>
      <c r="I24" s="27">
        <f t="shared" si="8"/>
        <v>29650</v>
      </c>
      <c r="J24" s="27">
        <f t="shared" si="8"/>
        <v>34592.5</v>
      </c>
      <c r="K24" s="27">
        <f t="shared" si="8"/>
        <v>40087.5</v>
      </c>
      <c r="L24" s="27">
        <f t="shared" si="8"/>
        <v>46135</v>
      </c>
      <c r="M24" s="27">
        <f t="shared" si="8"/>
        <v>52735</v>
      </c>
    </row>
  </sheetData>
  <mergeCells count="2">
    <mergeCell ref="A1:M1"/>
    <mergeCell ref="A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showGridLines="0" tabSelected="1" zoomScale="160" zoomScaleNormal="160" workbookViewId="0">
      <selection sqref="A1:G1"/>
    </sheetView>
  </sheetViews>
  <sheetFormatPr baseColWidth="10" defaultColWidth="8.83203125" defaultRowHeight="15"/>
  <cols>
    <col min="1" max="1" width="34" customWidth="1"/>
    <col min="2" max="6" width="16" customWidth="1"/>
    <col min="7" max="7" width="36" customWidth="1"/>
  </cols>
  <sheetData>
    <row r="1" spans="1:7" ht="34" customHeight="1">
      <c r="A1" s="33" t="s">
        <v>88</v>
      </c>
      <c r="B1" s="33" t="s">
        <v>88</v>
      </c>
      <c r="C1" s="33" t="s">
        <v>88</v>
      </c>
      <c r="D1" s="33" t="s">
        <v>88</v>
      </c>
      <c r="E1" s="33" t="s">
        <v>88</v>
      </c>
      <c r="F1" s="33" t="s">
        <v>88</v>
      </c>
      <c r="G1" s="33" t="s">
        <v>88</v>
      </c>
    </row>
    <row r="2" spans="1:7" ht="30" customHeight="1">
      <c r="A2" s="34" t="s">
        <v>89</v>
      </c>
      <c r="B2" s="34" t="s">
        <v>89</v>
      </c>
      <c r="C2" s="34" t="s">
        <v>89</v>
      </c>
      <c r="D2" s="34" t="s">
        <v>89</v>
      </c>
      <c r="E2" s="34" t="s">
        <v>89</v>
      </c>
      <c r="F2" s="34" t="s">
        <v>89</v>
      </c>
      <c r="G2" s="34" t="s">
        <v>89</v>
      </c>
    </row>
    <row r="3" spans="1:7">
      <c r="A3" s="1"/>
      <c r="B3" s="1"/>
      <c r="C3" s="1"/>
      <c r="D3" s="1"/>
      <c r="E3" s="1"/>
      <c r="F3" s="1"/>
      <c r="G3" s="1"/>
    </row>
    <row r="4" spans="1:7" ht="16">
      <c r="A4" s="7" t="s">
        <v>90</v>
      </c>
      <c r="B4" s="8" t="s">
        <v>91</v>
      </c>
      <c r="C4" s="8" t="s">
        <v>92</v>
      </c>
      <c r="D4" s="8" t="s">
        <v>93</v>
      </c>
      <c r="E4" s="8" t="s">
        <v>94</v>
      </c>
      <c r="F4" s="8" t="s">
        <v>95</v>
      </c>
      <c r="G4" s="3" t="s">
        <v>96</v>
      </c>
    </row>
    <row r="5" spans="1:7">
      <c r="A5" s="1" t="s">
        <v>97</v>
      </c>
      <c r="B5" s="32">
        <f>SUM(Forecast!B9:M9)-SUM(Forecast!B10:M10)-SUM(Forecast!B11:M11)</f>
        <v>0</v>
      </c>
      <c r="C5" s="32">
        <v>0</v>
      </c>
      <c r="D5" s="32">
        <f>B5-C5</f>
        <v>0</v>
      </c>
      <c r="E5" s="32">
        <v>0.01</v>
      </c>
      <c r="F5" s="1" t="str">
        <f>IF(ABS(D5)&lt;=E5,"PASS","FAIL")</f>
        <v>PASS</v>
      </c>
      <c r="G5" s="1" t="s">
        <v>98</v>
      </c>
    </row>
    <row r="6" spans="1:7">
      <c r="A6" s="1" t="s">
        <v>99</v>
      </c>
      <c r="B6" s="32">
        <f>SUM(Forecast!B13:M13)-SUM(Forecast!B14:M14)-SUM(Forecast!B15:M15)-SUM(Forecast!B16:M16)</f>
        <v>0</v>
      </c>
      <c r="C6" s="32">
        <v>0</v>
      </c>
      <c r="D6" s="32">
        <f>B6-C6</f>
        <v>0</v>
      </c>
      <c r="E6" s="32">
        <v>0.01</v>
      </c>
      <c r="F6" s="1" t="str">
        <f>IF(ABS(D6)&lt;=E6,"PASS","FAIL")</f>
        <v>PASS</v>
      </c>
      <c r="G6" s="1" t="s">
        <v>100</v>
      </c>
    </row>
    <row r="7" spans="1:7">
      <c r="A7" s="1" t="s">
        <v>101</v>
      </c>
      <c r="B7" s="32">
        <f>SUM(Forecast!B7:M7)-SUM(Forecast!B4:M4)-SUM(Forecast!B5:M5)+SUM(Forecast!B6:M6)</f>
        <v>0</v>
      </c>
      <c r="C7" s="32">
        <v>0</v>
      </c>
      <c r="D7" s="32">
        <f>B7-C7</f>
        <v>0</v>
      </c>
      <c r="E7" s="32">
        <v>0.01</v>
      </c>
      <c r="F7" s="1" t="str">
        <f>IF(ABS(D7)&lt;=E7,"PASS","FAIL")</f>
        <v>PASS</v>
      </c>
      <c r="G7" s="1" t="s">
        <v>102</v>
      </c>
    </row>
    <row r="8" spans="1:7">
      <c r="A8" s="1" t="s">
        <v>103</v>
      </c>
      <c r="B8" s="32">
        <f>SUM(Forecast!B24:M24)-SUM(Forecast!B23:M23)-SUM(Forecast!B21:M21)</f>
        <v>0</v>
      </c>
      <c r="C8" s="32">
        <v>0</v>
      </c>
      <c r="D8" s="32">
        <f>B8-C8</f>
        <v>0</v>
      </c>
      <c r="E8" s="32">
        <v>0.01</v>
      </c>
      <c r="F8" s="1" t="str">
        <f>IF(ABS(D8)&lt;=E8,"PASS","FAIL")</f>
        <v>PASS</v>
      </c>
      <c r="G8" s="1" t="s">
        <v>104</v>
      </c>
    </row>
    <row r="9" spans="1:7">
      <c r="A9" s="1" t="s">
        <v>105</v>
      </c>
      <c r="B9" s="1">
        <f>COUNT(Assumptions!B5:B18)</f>
        <v>14</v>
      </c>
      <c r="C9" s="1">
        <v>14</v>
      </c>
      <c r="D9" s="1">
        <f>B9-C9</f>
        <v>0</v>
      </c>
      <c r="E9" s="1">
        <v>0</v>
      </c>
      <c r="F9" s="1" t="str">
        <f>IF(ABS(D9)&lt;=E9,"PASS","FAIL")</f>
        <v>PASS</v>
      </c>
      <c r="G9" s="1" t="s">
        <v>106</v>
      </c>
    </row>
    <row r="10" spans="1:7">
      <c r="A10" s="1"/>
      <c r="B10" s="1"/>
      <c r="C10" s="1"/>
      <c r="D10" s="1"/>
      <c r="E10" s="1"/>
      <c r="F10" s="1"/>
      <c r="G10" s="1"/>
    </row>
    <row r="11" spans="1:7">
      <c r="A11" s="1" t="s">
        <v>107</v>
      </c>
      <c r="B11" s="28" t="str">
        <f>IF(COUNTIF(F5:F9,"FAIL")=0,"PASS","FAIL")</f>
        <v>PASS</v>
      </c>
      <c r="C11" s="1"/>
      <c r="D11" s="1"/>
      <c r="E11" s="1"/>
      <c r="F11" s="1"/>
      <c r="G11" s="1"/>
    </row>
    <row r="12" spans="1:7">
      <c r="A12" s="1" t="s">
        <v>108</v>
      </c>
      <c r="B12" s="1" t="s">
        <v>109</v>
      </c>
      <c r="C12" s="1"/>
      <c r="D12" s="1"/>
      <c r="E12" s="1"/>
      <c r="F12" s="1"/>
      <c r="G12" s="1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Assumptions</vt:lpstr>
      <vt:lpstr>Forecast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Grant</cp:lastModifiedBy>
  <dcterms:modified xsi:type="dcterms:W3CDTF">2026-07-28T04:44:17Z</dcterms:modified>
</cp:coreProperties>
</file>