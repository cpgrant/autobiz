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6f280dd20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fe8d44b94474c29"/>
    <x:sheet xmlns:r="http://schemas.openxmlformats.org/officeDocument/2006/relationships" name="Weekly KPIs" sheetId="2" r:id="R433ba0d0e2b34bfb"/>
    <x:sheet xmlns:r="http://schemas.openxmlformats.org/officeDocument/2006/relationships" name="Definitions" sheetId="3" r:id="R20350244d86441bb"/>
    <x:sheet xmlns:r="http://schemas.openxmlformats.org/officeDocument/2006/relationships" name="Checks" sheetId="4" r:id="R7a6aa14224d9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8"/>
      <x:color rgb="FFFFFFFF"/>
      <x:name val="Aptos"/>
    </x:font>
    <x:font>
      <x:i/>
      <x:sz val="11"/>
      <x:color rgb="FF17324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  <x:font>
      <x:sz val="11"/>
      <x:color rgb="FF1D4ED8"/>
      <x:name val="Carlito"/>
    </x:font>
    <x:font>
      <x:sz val="11"/>
      <x:color rgb="FF1D4ED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  <x:fill>
      <x:patternFill patternType="solid">
        <x:fgColor rgb="FFDDF2EF"/>
      </x:patternFill>
    </x:fill>
    <x:fill>
      <x:patternFill patternType="solid">
        <x:fgColor rgb="FFFFF2CC"/>
      </x:patternFill>
    </x:fill>
  </x:fills>
  <x:borders count="12">
    <x:border/>
    <x:border>
      <x:right style="thin">
        <x:color rgb="FF8FA5B8"/>
      </x:right>
    </x:border>
    <x:border>
      <x:left style="thin">
        <x:color rgb="FF8FA5B8"/>
      </x:left>
      <x:right style="thin">
        <x:color rgb="FF8FA5B8"/>
      </x:right>
    </x:border>
    <x:border>
      <x:left style="thin">
        <x:color rgb="FF8FA5B8"/>
      </x:left>
    </x:border>
    <x:border>
      <x:left style="thin">
        <x:color rgb="FFD9A441"/>
      </x:left>
      <x:top style="thin">
        <x:color rgb="FFD9A441"/>
      </x:top>
    </x:border>
    <x:border>
      <x:top style="thin">
        <x:color rgb="FFD9A441"/>
      </x:top>
    </x:border>
    <x:border>
      <x:right style="thin">
        <x:color rgb="FFD9A441"/>
      </x:right>
      <x:top style="thin">
        <x:color rgb="FFD9A441"/>
      </x:top>
    </x:border>
    <x:border>
      <x:left style="thin">
        <x:color rgb="FFD9A441"/>
      </x:left>
    </x:border>
    <x:border>
      <x:right style="thin">
        <x:color rgb="FFD9A441"/>
      </x:right>
    </x:border>
    <x:border>
      <x:left style="thin">
        <x:color rgb="FFD9A441"/>
      </x:left>
      <x:bottom style="thin">
        <x:color rgb="FFD9A441"/>
      </x:bottom>
    </x:border>
    <x:border>
      <x:bottom style="thin">
        <x:color rgb="FFD9A441"/>
      </x:bottom>
    </x:border>
    <x:border>
      <x:right style="thin">
        <x:color rgb="FFD9A441"/>
      </x:right>
      <x:bottom style="thin">
        <x:color rgb="FFD9A44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2" borderId="1" xfId="0" applyNumberFormat="1" applyFont="1" applyFill="1" applyBorder="1" applyAlignment="1">
      <x:alignment vertical="center" wrapText="1"/>
    </x:xf>
    <x:xf numFmtId="0" fontId="8" fillId="2" borderId="2" xfId="0" applyNumberFormat="1" applyFont="1" applyFill="1" applyBorder="1" applyAlignment="1">
      <x:alignment vertical="center" wrapText="1"/>
    </x:xf>
    <x:xf numFmtId="0" fontId="8" fillId="2" borderId="3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200" fontId="9" fillId="4" borderId="0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4" xfId="0" applyNumberFormat="1" applyFont="1" applyFill="1" applyBorder="1"/>
    <x:xf numFmtId="0" fontId="1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201" fontId="0" fillId="0" borderId="0" xfId="0" applyNumberFormat="1" applyFont="1" applyFill="1" applyBorder="1"/>
    <x:xf numFmtId="200" fontId="10" fillId="5" borderId="5" xfId="0" applyNumberFormat="1" applyFont="1" applyFill="1" applyBorder="1"/>
    <x:xf numFmtId="200" fontId="10" fillId="5" borderId="0" xfId="0" applyNumberFormat="1" applyFont="1" applyFill="1" applyBorder="1"/>
    <x:xf numFmtId="200" fontId="10" fillId="5" borderId="10" xfId="0" applyNumberFormat="1" applyFont="1" applyFill="1" applyBorder="1"/>
    <x:xf numFmtId="201" fontId="7" fillId="0" borderId="0" xfId="0" applyNumberFormat="1" applyFont="1" applyFill="1" applyBorder="1"/>
    <x:xf numFmtId="0" fontId="11" fillId="5" borderId="4" xfId="0" applyNumberFormat="1" applyFont="1" applyFill="1" applyBorder="1"/>
    <x:xf numFmtId="0" fontId="11" fillId="5" borderId="5" xfId="0" applyNumberFormat="1" applyFont="1" applyFill="1" applyBorder="1"/>
    <x:xf numFmtId="200" fontId="1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0" xfId="0" applyNumberFormat="1" applyFont="1" applyFill="1" applyBorder="1"/>
    <x:xf numFmtId="200" fontId="11" fillId="5" borderId="0" xfId="0" applyNumberFormat="1" applyFont="1" applyFill="1" applyBorder="1"/>
    <x:xf numFmtId="0" fontId="11" fillId="5" borderId="8" xfId="0" applyNumberFormat="1" applyFont="1" applyFill="1" applyBorder="1"/>
    <x:xf numFmtId="0" fontId="11" fillId="5" borderId="9" xfId="0" applyNumberFormat="1" applyFont="1" applyFill="1" applyBorder="1"/>
    <x:xf numFmtId="0" fontId="11" fillId="5" borderId="10" xfId="0" applyNumberFormat="1" applyFont="1" applyFill="1" applyBorder="1"/>
    <x:xf numFmtId="200" fontId="11" fillId="5" borderId="10" xfId="0" applyNumberFormat="1" applyFont="1" applyFill="1" applyBorder="1"/>
    <x:xf numFmtId="0" fontId="11" fillId="5" borderId="1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c7f78f91f42bc" /><Relationship Type="http://schemas.openxmlformats.org/officeDocument/2006/relationships/theme" Target="/xl/theme/theme1.xml" Id="Rd0813dc6f9234cdd" /><Relationship Type="http://schemas.openxmlformats.org/officeDocument/2006/relationships/sharedStrings" Target="/xl/sharedStrings.xml" Id="Rcd088acd85c34411" /><Relationship Type="http://schemas.openxmlformats.org/officeDocument/2006/relationships/worksheet" Target="/xl/worksheets/sheet1.xml" Id="R8fe8d44b94474c29" /><Relationship Type="http://schemas.openxmlformats.org/officeDocument/2006/relationships/worksheet" Target="/xl/worksheets/sheet2.xml" Id="R433ba0d0e2b34bfb" /><Relationship Type="http://schemas.openxmlformats.org/officeDocument/2006/relationships/worksheet" Target="/xl/worksheets/sheet3.xml" Id="R20350244d86441bb" /><Relationship Type="http://schemas.openxmlformats.org/officeDocument/2006/relationships/worksheet" Target="/xl/worksheets/sheet4.xml" Id="R7a6aa14224d948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2c6dbf09a343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Interviews and qualified leads (last 12 slots)</a:t>
            </a:r>
          </a:p>
        </c:rich>
      </c:tx>
    </c:title>
    <c:plotArea>
      <c:lineChart>
        <c:grouping val="standard"/>
        <c:ser>
          <c:idx val="0"/>
          <c:order val="0"/>
          <c:tx>
            <c:v>Interviews</c:v>
          </c:tx>
          <c:marker>
            <c:symbol val="none"/>
          </c:marker>
          <c:cat>
            <c:strRef>
              <c:f>'Dashboard'!$A$18:$A$29</c:f>
              <c:strCache>
                <c:ptCount val="0"/>
              </c:strCache>
            </c:strRef>
          </c:cat>
          <c:val>
            <c:numRef>
              <c:f>'Dashboard'!$B$18:$B$29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Qualified leads</c:v>
          </c:tx>
          <c:marker>
            <c:symbol val="none"/>
          </c:marker>
          <c:cat>
            <c:strRef>
              <c:f>'Dashboard'!$A$18:$A$29</c:f>
              <c:strCache>
                <c:ptCount val="0"/>
              </c:strCache>
            </c:strRef>
          </c:cat>
          <c:val>
            <c:numRef>
              <c:f>'Dashboard'!$C$18:$C$29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2c6dbf09a3437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acfa1fa68c4a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</x:cols>
  <x:sheetData>
    <x:row r="1" ht="34" customHeight="1">
      <x:c r="A1" s="20" t="str">
        <x:v>Autobiz Operating Scorecard</x:v>
      </x:c>
      <x:c r="B1" s="20" t="str">
        <x:v>Autobiz Operating Scorecard</x:v>
      </x:c>
      <x:c r="C1" s="20" t="str">
        <x:v>Autobiz Operating Scorecard</x:v>
      </x:c>
      <x:c r="D1" s="20" t="str">
        <x:v>Autobiz Operating Scorecard</x:v>
      </x:c>
      <x:c r="E1" s="20" t="str">
        <x:v>Autobiz Operating Scorecard</x:v>
      </x:c>
      <x:c r="F1" s="20" t="str">
        <x:v>Autobiz Operating Scorecard</x:v>
      </x:c>
      <x:c r="G1" s="20" t="str">
        <x:v>Autobiz Operating Scorecard</x:v>
      </x:c>
      <x:c r="H1" s="20" t="str">
        <x:v>Autobiz Operating Scorecard</x:v>
      </x:c>
    </x:row>
    <x:row r="2" ht="30" customHeight="1">
      <x:c r="A2" s="21" t="str">
        <x:v>Weekly management view — enter actuals on the Weekly KPIs sheet</x:v>
      </x:c>
      <x:c r="B2" s="21" t="str">
        <x:v>Weekly management view — enter actuals on the Weekly KPIs sheet</x:v>
      </x:c>
      <x:c r="C2" s="21" t="str">
        <x:v>Weekly management view — enter actuals on the Weekly KPIs sheet</x:v>
      </x:c>
      <x:c r="D2" s="21" t="str">
        <x:v>Weekly management view — enter actuals on the Weekly KPIs sheet</x:v>
      </x:c>
      <x:c r="E2" s="21" t="str">
        <x:v>Weekly management view — enter actuals on the Weekly KPIs sheet</x:v>
      </x:c>
      <x:c r="F2" s="21" t="str">
        <x:v>Weekly management view — enter actuals on the Weekly KPIs sheet</x:v>
      </x:c>
      <x:c r="G2" s="21" t="str">
        <x:v>Weekly management view — enter actuals on the Weekly KPIs sheet</x:v>
      </x:c>
      <x:c r="H2" s="21" t="str">
        <x:v>Weekly management view — enter actuals on the Weekly KPIs sheet</x:v>
      </x:c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3" t="str">
        <x:v>Metric</x:v>
      </x:c>
      <x:c r="B4" s="24" t="str">
        <x:v>Latest</x:v>
      </x:c>
      <x:c r="C4" s="24" t="str">
        <x:v>Target</x:v>
      </x:c>
      <x:c r="D4" s="24" t="str">
        <x:v>Status</x:v>
      </x:c>
      <x:c r="E4" s="24" t="str">
        <x:v>Unit</x:v>
      </x:c>
      <x:c r="F4" s="24" t="str">
        <x:v>Owner</x:v>
      </x:c>
      <x:c r="G4" s="24" t="str">
        <x:v>Why it matters</x:v>
      </x:c>
      <x:c r="H4" s="25" t="str">
        <x:v>Source</x:v>
      </x:c>
    </x:row>
    <x:row r="5">
      <x:c r="A5" s="22" t="str">
        <x:v>Customer interviews</x:v>
      </x:c>
      <x:c r="B5" s="26" t="n">
        <x:f>IFERROR(LOOKUP(2,1/('Weekly KPIs'!B$5:B$56&lt;&gt;""),'Weekly KPIs'!B$5:B$56),0)</x:f>
        <x:v>0</x:v>
      </x:c>
      <x:c r="C5" s="26" t="n">
        <x:v>5</x:v>
      </x:c>
      <x:c r="D5" s="26" t="str">
        <x:f>IF(COUNT('Weekly KPIs'!B5:B56)=0,"NO DATA",IF(B5&gt;=C5,"ON TRACK","BELOW"))</x:f>
        <x:v>NO DATA</x:v>
      </x:c>
      <x:c r="E5" s="22" t="str">
        <x:v>count/week</x:v>
      </x:c>
      <x:c r="F5" s="22" t="str">
        <x:v>Founder</x:v>
      </x:c>
      <x:c r="G5" s="22" t="str">
        <x:v>Market evidence</x:v>
      </x:c>
      <x:c r="H5" s="22" t="str">
        <x:v>Interview log</x:v>
      </x:c>
    </x:row>
    <x:row r="6">
      <x:c r="A6" s="22" t="str">
        <x:v>Qualified leads</x:v>
      </x:c>
      <x:c r="B6" s="26" t="n">
        <x:f>IFERROR(LOOKUP(2,1/('Weekly KPIs'!B$5:B$56&lt;&gt;""),'Weekly KPIs'!C$5:C$56),0)</x:f>
        <x:v>0</x:v>
      </x:c>
      <x:c r="C6" s="26" t="n">
        <x:v>3</x:v>
      </x:c>
      <x:c r="D6" s="26" t="str">
        <x:f>IF(COUNT('Weekly KPIs'!C5:C56)=0,"NO DATA",IF(B6&gt;=C6,"ON TRACK","BELOW"))</x:f>
        <x:v>NO DATA</x:v>
      </x:c>
      <x:c r="E6" s="22" t="str">
        <x:v>count/week</x:v>
      </x:c>
      <x:c r="F6" s="22" t="str">
        <x:v>Sales</x:v>
      </x:c>
      <x:c r="G6" s="22" t="str">
        <x:v>Demand quality</x:v>
      </x:c>
      <x:c r="H6" s="22" t="str">
        <x:v>CRM</x:v>
      </x:c>
    </x:row>
    <x:row r="7">
      <x:c r="A7" s="22" t="str">
        <x:v>Proposal conversion</x:v>
      </x:c>
      <x:c r="B7" s="27" t="n">
        <x:f>IFERROR(LOOKUP(2,1/('Weekly KPIs'!B$5:B$56&lt;&gt;""),'Weekly KPIs'!D$5:D$56),0)</x:f>
        <x:v>0</x:v>
      </x:c>
      <x:c r="C7" s="27" t="n">
        <x:v>0.3</x:v>
      </x:c>
      <x:c r="D7" s="26" t="str">
        <x:f>IF(COUNT('Weekly KPIs'!D5:D56)=0,"NO DATA",IF(B7&gt;=C7,"ON TRACK","BELOW"))</x:f>
        <x:v>NO DATA</x:v>
      </x:c>
      <x:c r="E7" s="22" t="str">
        <x:v>%</x:v>
      </x:c>
      <x:c r="F7" s="22" t="str">
        <x:v>Sales</x:v>
      </x:c>
      <x:c r="G7" s="22" t="str">
        <x:v>Offer effectiveness</x:v>
      </x:c>
      <x:c r="H7" s="22" t="str">
        <x:v>CRM</x:v>
      </x:c>
    </x:row>
    <x:row r="8">
      <x:c r="A8" s="22" t="str">
        <x:v>Active paying customers</x:v>
      </x:c>
      <x:c r="B8" s="26" t="n">
        <x:f>IFERROR(LOOKUP(2,1/('Weekly KPIs'!B$5:B$56&lt;&gt;""),'Weekly KPIs'!E$5:E$56),0)</x:f>
        <x:v>0</x:v>
      </x:c>
      <x:c r="C8" s="26" t="n">
        <x:v>3</x:v>
      </x:c>
      <x:c r="D8" s="26" t="str">
        <x:f>IF(COUNT('Weekly KPIs'!E5:E56)=0,"NO DATA",IF(B8&gt;=C8,"ON TRACK","BELOW"))</x:f>
        <x:v>NO DATA</x:v>
      </x:c>
      <x:c r="E8" s="22" t="str">
        <x:v>count</x:v>
      </x:c>
      <x:c r="F8" s="22" t="str">
        <x:v>Founder</x:v>
      </x:c>
      <x:c r="G8" s="22" t="str">
        <x:v>Commercial proof</x:v>
      </x:c>
      <x:c r="H8" s="22" t="str">
        <x:v>Billing</x:v>
      </x:c>
    </x:row>
    <x:row r="9">
      <x:c r="A9" s="22" t="str">
        <x:v>Median first response</x:v>
      </x:c>
      <x:c r="B9" s="26" t="n">
        <x:f>IFERROR(LOOKUP(2,1/('Weekly KPIs'!B$5:B$56&lt;&gt;""),'Weekly KPIs'!F$5:F$56),0)</x:f>
        <x:v>0</x:v>
      </x:c>
      <x:c r="C9" s="26" t="n">
        <x:v>60</x:v>
      </x:c>
      <x:c r="D9" s="26" t="str">
        <x:f>IF(COUNT('Weekly KPIs'!F5:F56)=0,"NO DATA",IF(B9&lt;=C9,"ON TRACK","ABOVE"))</x:f>
        <x:v>NO DATA</x:v>
      </x:c>
      <x:c r="E9" s="22" t="str">
        <x:v>minutes</x:v>
      </x:c>
      <x:c r="F9" s="22" t="str">
        <x:v>Operations</x:v>
      </x:c>
      <x:c r="G9" s="22" t="str">
        <x:v>Service speed</x:v>
      </x:c>
      <x:c r="H9" s="22" t="str">
        <x:v>Workflow log</x:v>
      </x:c>
    </x:row>
    <x:row r="10">
      <x:c r="A10" s="22" t="str">
        <x:v>Automation success</x:v>
      </x:c>
      <x:c r="B10" s="27" t="n">
        <x:f>IFERROR(LOOKUP(2,1/('Weekly KPIs'!B$5:B$56&lt;&gt;""),'Weekly KPIs'!G$5:G$56),0)</x:f>
        <x:v>0</x:v>
      </x:c>
      <x:c r="C10" s="27" t="n">
        <x:v>0.9</x:v>
      </x:c>
      <x:c r="D10" s="26" t="str">
        <x:f>IF(COUNT('Weekly KPIs'!G5:G56)=0,"NO DATA",IF(B10&gt;=C10,"ON TRACK","BELOW"))</x:f>
        <x:v>NO DATA</x:v>
      </x:c>
      <x:c r="E10" s="22" t="str">
        <x:v>%</x:v>
      </x:c>
      <x:c r="F10" s="22" t="str">
        <x:v>Product</x:v>
      </x:c>
      <x:c r="G10" s="22" t="str">
        <x:v>Reliability</x:v>
      </x:c>
      <x:c r="H10" s="22" t="str">
        <x:v>Workflow log</x:v>
      </x:c>
    </x:row>
    <x:row r="11">
      <x:c r="A11" s="22" t="str">
        <x:v>Exception rate</x:v>
      </x:c>
      <x:c r="B11" s="27" t="n">
        <x:f>IFERROR(LOOKUP(2,1/('Weekly KPIs'!B$5:B$56&lt;&gt;""),'Weekly KPIs'!H$5:H$56),0)</x:f>
        <x:v>0</x:v>
      </x:c>
      <x:c r="C11" s="27" t="n">
        <x:v>0.15</x:v>
      </x:c>
      <x:c r="D11" s="26" t="str">
        <x:f>IF(COUNT('Weekly KPIs'!H5:H56)=0,"NO DATA",IF(B11&lt;=C11,"ON TRACK","ABOVE"))</x:f>
        <x:v>NO DATA</x:v>
      </x:c>
      <x:c r="E11" s="22" t="str">
        <x:v>%</x:v>
      </x:c>
      <x:c r="F11" s="22" t="str">
        <x:v>Operations</x:v>
      </x:c>
      <x:c r="G11" s="22" t="str">
        <x:v>Human workload</x:v>
      </x:c>
      <x:c r="H11" s="22" t="str">
        <x:v>Workflow log</x:v>
      </x:c>
    </x:row>
    <x:row r="12">
      <x:c r="A12" s="22" t="str">
        <x:v>Founder minutes/customer</x:v>
      </x:c>
      <x:c r="B12" s="26" t="n">
        <x:f>IFERROR(LOOKUP(2,1/('Weekly KPIs'!B$5:B$56&lt;&gt;""),'Weekly KPIs'!I$5:I$56),0)</x:f>
        <x:v>0</x:v>
      </x:c>
      <x:c r="C12" s="26" t="n">
        <x:v>120</x:v>
      </x:c>
      <x:c r="D12" s="26" t="str">
        <x:f>IF(COUNT('Weekly KPIs'!I5:I56)=0,"NO DATA",IF(B12&lt;=C12,"ON TRACK","ABOVE"))</x:f>
        <x:v>NO DATA</x:v>
      </x:c>
      <x:c r="E12" s="22" t="str">
        <x:v>minutes/week</x:v>
      </x:c>
      <x:c r="F12" s="22" t="str">
        <x:v>Founder</x:v>
      </x:c>
      <x:c r="G12" s="22" t="str">
        <x:v>Scalability</x:v>
      </x:c>
      <x:c r="H12" s="22" t="str">
        <x:v>Time log</x:v>
      </x:c>
    </x:row>
    <x:row r="13">
      <x:c r="A13" s="22" t="str">
        <x:v>Contribution margin</x:v>
      </x:c>
      <x:c r="B13" s="27" t="n">
        <x:f>IFERROR(LOOKUP(2,1/('Weekly KPIs'!B$5:B$56&lt;&gt;""),'Weekly KPIs'!J$5:J$56),0)</x:f>
        <x:v>0</x:v>
      </x:c>
      <x:c r="C13" s="27" t="n">
        <x:v>0.5</x:v>
      </x:c>
      <x:c r="D13" s="26" t="str">
        <x:f>IF(COUNT('Weekly KPIs'!J5:J56)=0,"NO DATA",IF(B13&gt;=C13,"ON TRACK","BELOW"))</x:f>
        <x:v>NO DATA</x:v>
      </x:c>
      <x:c r="E13" s="22" t="str">
        <x:v>%</x:v>
      </x:c>
      <x:c r="F13" s="22" t="str">
        <x:v>Finance</x:v>
      </x:c>
      <x:c r="G13" s="22" t="str">
        <x:v>Economic quality</x:v>
      </x:c>
      <x:c r="H13" s="22" t="str">
        <x:v>Financial model</x:v>
      </x:c>
    </x:row>
    <x:row r="14">
      <x:c r="A14" s="22" t="str">
        <x:v>Customer churn</x:v>
      </x:c>
      <x:c r="B14" s="27" t="n">
        <x:f>IFERROR(LOOKUP(2,1/('Weekly KPIs'!B$5:B$56&lt;&gt;""),'Weekly KPIs'!K$5:K$56),0)</x:f>
        <x:v>0</x:v>
      </x:c>
      <x:c r="C14" s="27" t="n">
        <x:v>0.03</x:v>
      </x:c>
      <x:c r="D14" s="26" t="str">
        <x:f>IF(COUNT('Weekly KPIs'!K5:K56)=0,"NO DATA",IF(B14&lt;=C14,"ON TRACK","ABOVE"))</x:f>
        <x:v>NO DATA</x:v>
      </x:c>
      <x:c r="E14" s="22" t="str">
        <x:v>% monthly</x:v>
      </x:c>
      <x:c r="F14" s="22" t="str">
        <x:v>Customer success</x:v>
      </x:c>
      <x:c r="G14" s="22" t="str">
        <x:v>Retention</x:v>
      </x:c>
      <x:c r="H14" s="22" t="str">
        <x:v>Billing</x:v>
      </x:c>
    </x:row>
    <x:row r="15">
      <x:c r="A15" s="22"/>
      <x:c r="B15" s="22"/>
      <x:c r="C15" s="22"/>
      <x:c r="D15" s="22"/>
      <x:c r="E15" s="22"/>
      <x:c r="F15" s="22"/>
      <x:c r="G15" s="22"/>
      <x:c r="H15" s="22"/>
    </x:row>
    <x:row r="16">
      <x:c r="A16" s="22"/>
      <x:c r="B16" s="22"/>
      <x:c r="C16" s="22"/>
      <x:c r="D16" s="22"/>
      <x:c r="E16" s="22"/>
      <x:c r="F16" s="22"/>
      <x:c r="G16" s="22"/>
      <x:c r="H16" s="22"/>
    </x:row>
    <x:row r="17">
      <x:c r="A17" s="22" t="str">
        <x:v>Week</x:v>
      </x:c>
      <x:c r="B17" s="22" t="str">
        <x:v>Interviews</x:v>
      </x:c>
      <x:c r="C17" s="22" t="str">
        <x:v>Qualified leads</x:v>
      </x:c>
      <x:c r="D17" s="22"/>
      <x:c r="E17" s="22"/>
      <x:c r="F17" s="22"/>
      <x:c r="G17" s="22"/>
      <x:c r="H17" s="22"/>
    </x:row>
    <x:row r="18">
      <x:c r="A18" s="22" t="str">
        <x:f>TEXT('Weekly KPIs'!A5,"yyyy-mm-dd")</x:f>
        <x:v>2026-07-31</x:v>
      </x:c>
      <x:c r="B18" s="22" t="n">
        <x:f>'Weekly KPIs'!B5</x:f>
        <x:v>0</x:v>
      </x:c>
      <x:c r="C18" s="22" t="n">
        <x:f>'Weekly KPIs'!C5</x:f>
        <x:v>0</x:v>
      </x:c>
      <x:c r="D18" s="22"/>
      <x:c r="E18" s="22"/>
      <x:c r="F18" s="22"/>
      <x:c r="G18" s="22"/>
      <x:c r="H18" s="22"/>
    </x:row>
    <x:row r="19">
      <x:c r="A19" s="22" t="str">
        <x:f>TEXT('Weekly KPIs'!A6,"yyyy-mm-dd")</x:f>
        <x:v>2026-08-07</x:v>
      </x:c>
      <x:c r="B19" s="22" t="n">
        <x:f>'Weekly KPIs'!B6</x:f>
        <x:v>0</x:v>
      </x:c>
      <x:c r="C19" s="22" t="n">
        <x:f>'Weekly KPIs'!C6</x:f>
        <x:v>0</x:v>
      </x:c>
      <x:c r="D19" s="22"/>
      <x:c r="E19" s="22"/>
      <x:c r="F19" s="22"/>
      <x:c r="G19" s="22"/>
      <x:c r="H19" s="22"/>
    </x:row>
    <x:row r="20">
      <x:c r="A20" s="22" t="str">
        <x:f>TEXT('Weekly KPIs'!A7,"yyyy-mm-dd")</x:f>
        <x:v>2026-08-14</x:v>
      </x:c>
      <x:c r="B20" s="22" t="n">
        <x:f>'Weekly KPIs'!B7</x:f>
        <x:v>0</x:v>
      </x:c>
      <x:c r="C20" s="22" t="n">
        <x:f>'Weekly KPIs'!C7</x:f>
        <x:v>0</x:v>
      </x:c>
      <x:c r="D20" s="22"/>
      <x:c r="E20" s="22"/>
      <x:c r="F20" s="22"/>
      <x:c r="G20" s="22"/>
      <x:c r="H20" s="22"/>
    </x:row>
    <x:row r="21">
      <x:c r="A21" s="22" t="str">
        <x:f>TEXT('Weekly KPIs'!A8,"yyyy-mm-dd")</x:f>
        <x:v>2026-08-21</x:v>
      </x:c>
      <x:c r="B21" s="22" t="n">
        <x:f>'Weekly KPIs'!B8</x:f>
        <x:v>0</x:v>
      </x:c>
      <x:c r="C21" s="22" t="n">
        <x:f>'Weekly KPIs'!C8</x:f>
        <x:v>0</x:v>
      </x:c>
      <x:c r="D21" s="22"/>
      <x:c r="E21" s="22"/>
      <x:c r="F21" s="22"/>
      <x:c r="G21" s="22"/>
      <x:c r="H21" s="22"/>
    </x:row>
    <x:row r="22">
      <x:c r="A22" s="22" t="str">
        <x:f>TEXT('Weekly KPIs'!A9,"yyyy-mm-dd")</x:f>
        <x:v>2026-08-28</x:v>
      </x:c>
      <x:c r="B22" s="22" t="n">
        <x:f>'Weekly KPIs'!B9</x:f>
        <x:v>0</x:v>
      </x:c>
      <x:c r="C22" s="22" t="n">
        <x:f>'Weekly KPIs'!C9</x:f>
        <x:v>0</x:v>
      </x:c>
      <x:c r="D22" s="22"/>
      <x:c r="E22" s="22"/>
      <x:c r="F22" s="22"/>
      <x:c r="G22" s="22"/>
      <x:c r="H22" s="22"/>
    </x:row>
    <x:row r="23">
      <x:c r="A23" s="22" t="str">
        <x:f>TEXT('Weekly KPIs'!A10,"yyyy-mm-dd")</x:f>
        <x:v>2026-09-04</x:v>
      </x:c>
      <x:c r="B23" s="22" t="n">
        <x:f>'Weekly KPIs'!B10</x:f>
        <x:v>0</x:v>
      </x:c>
      <x:c r="C23" s="22" t="n">
        <x:f>'Weekly KPIs'!C10</x:f>
        <x:v>0</x:v>
      </x:c>
      <x:c r="D23" s="22"/>
      <x:c r="E23" s="22"/>
      <x:c r="F23" s="22"/>
      <x:c r="G23" s="22"/>
      <x:c r="H23" s="22"/>
    </x:row>
    <x:row r="24">
      <x:c r="A24" s="22" t="str">
        <x:f>TEXT('Weekly KPIs'!A11,"yyyy-mm-dd")</x:f>
        <x:v>2026-09-11</x:v>
      </x:c>
      <x:c r="B24" s="22" t="n">
        <x:f>'Weekly KPIs'!B11</x:f>
        <x:v>0</x:v>
      </x:c>
      <x:c r="C24" s="22" t="n">
        <x:f>'Weekly KPIs'!C11</x:f>
        <x:v>0</x:v>
      </x:c>
      <x:c r="D24" s="22"/>
      <x:c r="E24" s="22"/>
      <x:c r="F24" s="22"/>
      <x:c r="G24" s="22"/>
      <x:c r="H24" s="22"/>
    </x:row>
    <x:row r="25">
      <x:c r="A25" s="22" t="str">
        <x:f>TEXT('Weekly KPIs'!A12,"yyyy-mm-dd")</x:f>
        <x:v>2026-09-18</x:v>
      </x:c>
      <x:c r="B25" s="22" t="n">
        <x:f>'Weekly KPIs'!B12</x:f>
        <x:v>0</x:v>
      </x:c>
      <x:c r="C25" s="22" t="n">
        <x:f>'Weekly KPIs'!C12</x:f>
        <x:v>0</x:v>
      </x:c>
      <x:c r="D25" s="22"/>
      <x:c r="E25" s="22"/>
      <x:c r="F25" s="22"/>
      <x:c r="G25" s="22"/>
      <x:c r="H25" s="22"/>
    </x:row>
    <x:row r="26">
      <x:c r="A26" s="22" t="str">
        <x:f>TEXT('Weekly KPIs'!A13,"yyyy-mm-dd")</x:f>
        <x:v>2026-09-25</x:v>
      </x:c>
      <x:c r="B26" s="22" t="n">
        <x:f>'Weekly KPIs'!B13</x:f>
        <x:v>0</x:v>
      </x:c>
      <x:c r="C26" s="22" t="n">
        <x:f>'Weekly KPIs'!C13</x:f>
        <x:v>0</x:v>
      </x:c>
      <x:c r="D26" s="22"/>
      <x:c r="E26" s="22"/>
      <x:c r="F26" s="22"/>
      <x:c r="G26" s="22"/>
      <x:c r="H26" s="22"/>
    </x:row>
    <x:row r="27">
      <x:c r="A27" s="22" t="str">
        <x:f>TEXT('Weekly KPIs'!A14,"yyyy-mm-dd")</x:f>
        <x:v>2026-10-02</x:v>
      </x:c>
      <x:c r="B27" s="22" t="n">
        <x:f>'Weekly KPIs'!B14</x:f>
        <x:v>0</x:v>
      </x:c>
      <x:c r="C27" s="22" t="n">
        <x:f>'Weekly KPIs'!C14</x:f>
        <x:v>0</x:v>
      </x:c>
      <x:c r="D27" s="22"/>
      <x:c r="E27" s="22"/>
      <x:c r="F27" s="22"/>
      <x:c r="G27" s="22"/>
      <x:c r="H27" s="22"/>
    </x:row>
    <x:row r="28">
      <x:c r="A28" s="22" t="str">
        <x:f>TEXT('Weekly KPIs'!A15,"yyyy-mm-dd")</x:f>
        <x:v>2026-10-09</x:v>
      </x:c>
      <x:c r="B28" s="22" t="n">
        <x:f>'Weekly KPIs'!B15</x:f>
        <x:v>0</x:v>
      </x:c>
      <x:c r="C28" s="22" t="n">
        <x:f>'Weekly KPIs'!C15</x:f>
        <x:v>0</x:v>
      </x:c>
      <x:c r="D28" s="22"/>
      <x:c r="E28" s="22"/>
      <x:c r="F28" s="22"/>
      <x:c r="G28" s="22"/>
      <x:c r="H28" s="22"/>
    </x:row>
    <x:row r="29">
      <x:c r="A29" s="22" t="str">
        <x:f>TEXT('Weekly KPIs'!A16,"yyyy-mm-dd")</x:f>
        <x:v>2026-10-16</x:v>
      </x:c>
      <x:c r="B29" s="22" t="n">
        <x:f>'Weekly KPIs'!B16</x:f>
        <x:v>0</x:v>
      </x:c>
      <x:c r="C29" s="22" t="n">
        <x:f>'Weekly KPIs'!C16</x:f>
        <x:v>0</x:v>
      </x:c>
      <x:c r="D29" s="22"/>
      <x:c r="E29" s="22"/>
      <x:c r="F29" s="22"/>
      <x:c r="G29" s="22"/>
      <x:c r="H29" s="22"/>
    </x:row>
    <x:row r="30">
      <x:c r="A30" s="22"/>
      <x:c r="B30" s="22"/>
      <x:c r="C30" s="22"/>
      <x:c r="D30" s="22"/>
      <x:c r="E30" s="22"/>
      <x:c r="F30" s="22"/>
      <x:c r="G30" s="22"/>
      <x:c r="H30" s="22"/>
    </x:row>
    <x:row r="31">
      <x:c r="A31" s="22"/>
      <x:c r="B31" s="22"/>
      <x:c r="C31" s="22"/>
      <x:c r="D31" s="22"/>
      <x:c r="E31" s="22"/>
      <x:c r="F31" s="22"/>
      <x:c r="G31" s="22"/>
      <x:c r="H31" s="22"/>
    </x:row>
    <x:row r="32">
      <x:c r="A32" s="22"/>
      <x:c r="B32" s="22"/>
      <x:c r="C32" s="22"/>
      <x:c r="D32" s="22"/>
      <x:c r="E32" s="22"/>
      <x:c r="F32" s="22"/>
      <x:c r="G32" s="22"/>
      <x:c r="H32" s="22"/>
    </x:row>
    <x:row r="33">
      <x:c r="A33" s="22"/>
      <x:c r="B33" s="22"/>
      <x:c r="C33" s="22"/>
      <x:c r="D33" s="22"/>
      <x:c r="E33" s="22"/>
      <x:c r="F33" s="22"/>
      <x:c r="G33" s="22"/>
      <x:c r="H33" s="22"/>
    </x:row>
    <x:row r="34">
      <x:c r="A34" s="22"/>
      <x:c r="B34" s="22"/>
      <x:c r="C34" s="22"/>
      <x:c r="D34" s="22"/>
      <x:c r="E34" s="22"/>
      <x:c r="F34" s="22"/>
      <x:c r="G34" s="22"/>
      <x:c r="H34" s="22"/>
    </x:row>
    <x:row r="35">
      <x:c r="A35" s="22"/>
      <x:c r="B35" s="22"/>
      <x:c r="C35" s="22"/>
      <x:c r="D35" s="22"/>
      <x:c r="E35" s="22"/>
      <x:c r="F35" s="22"/>
      <x:c r="G35" s="22"/>
      <x:c r="H35" s="22"/>
    </x:row>
    <x:row r="36">
      <x:c r="A36" s="22"/>
      <x:c r="B36" s="22"/>
      <x:c r="C36" s="22"/>
      <x:c r="D36" s="22"/>
      <x:c r="E36" s="22"/>
      <x:c r="F36" s="22"/>
      <x:c r="G36" s="22"/>
      <x:c r="H36" s="22"/>
    </x:row>
    <x:row r="37">
      <x:c r="A37" s="22"/>
      <x:c r="B37" s="22"/>
      <x:c r="C37" s="22"/>
      <x:c r="D37" s="22"/>
      <x:c r="E37" s="22"/>
      <x:c r="F37" s="22"/>
      <x:c r="G37" s="22"/>
      <x:c r="H37" s="22"/>
    </x:row>
    <x:row r="38">
      <x:c r="A38" s="22"/>
      <x:c r="B38" s="22"/>
      <x:c r="C38" s="22"/>
      <x:c r="D38" s="22"/>
      <x:c r="E38" s="22"/>
      <x:c r="F38" s="22"/>
      <x:c r="G38" s="22"/>
      <x:c r="H38" s="22"/>
    </x:row>
    <x:row r="39">
      <x:c r="A39" s="22"/>
      <x:c r="B39" s="22"/>
      <x:c r="C39" s="22"/>
      <x:c r="D39" s="22"/>
      <x:c r="E39" s="22"/>
      <x:c r="F39" s="22"/>
      <x:c r="G39" s="22"/>
      <x:c r="H39" s="22"/>
    </x:row>
    <x:row r="40">
      <x:c r="A40" s="22"/>
      <x:c r="B40" s="22"/>
      <x:c r="C40" s="22"/>
      <x:c r="D40" s="22"/>
      <x:c r="E40" s="22"/>
      <x:c r="F40" s="22"/>
      <x:c r="G40" s="22"/>
      <x:c r="H40" s="22"/>
    </x:row>
    <x:row r="41">
      <x:c r="A41" s="22"/>
      <x:c r="B41" s="22"/>
      <x:c r="C41" s="22"/>
      <x:c r="D41" s="22"/>
      <x:c r="E41" s="22"/>
      <x:c r="F41" s="22"/>
      <x:c r="G41" s="22"/>
      <x:c r="H41" s="22"/>
    </x:row>
    <x:row r="42">
      <x:c r="A42" s="22"/>
      <x:c r="B42" s="22"/>
      <x:c r="C42" s="22"/>
      <x:c r="D42" s="22"/>
      <x:c r="E42" s="22"/>
      <x:c r="F42" s="22"/>
      <x:c r="G42" s="22"/>
      <x:c r="H42" s="22"/>
    </x:row>
    <x:row r="43">
      <x:c r="A43" s="22"/>
      <x:c r="B43" s="22"/>
      <x:c r="C43" s="22"/>
      <x:c r="D43" s="22"/>
      <x:c r="E43" s="22"/>
      <x:c r="F43" s="22"/>
      <x:c r="G43" s="22"/>
      <x:c r="H43" s="22"/>
    </x:row>
    <x:row r="44">
      <x:c r="A44" s="22"/>
      <x:c r="B44" s="22"/>
      <x:c r="C44" s="22"/>
      <x:c r="D44" s="22"/>
      <x:c r="E44" s="22"/>
      <x:c r="F44" s="22"/>
      <x:c r="G44" s="22"/>
      <x:c r="H44" s="22"/>
    </x:row>
    <x:row r="45">
      <x:c r="A45" s="22"/>
      <x:c r="B45" s="22"/>
      <x:c r="C45" s="22"/>
      <x:c r="D45" s="22"/>
      <x:c r="E45" s="22"/>
      <x:c r="F45" s="22"/>
      <x:c r="G45" s="22"/>
      <x:c r="H45" s="22"/>
    </x:row>
    <x:row r="46">
      <x:c r="A46" s="22"/>
      <x:c r="B46" s="22"/>
      <x:c r="C46" s="22"/>
      <x:c r="D46" s="22"/>
      <x:c r="E46" s="22"/>
      <x:c r="F46" s="22"/>
      <x:c r="G46" s="22"/>
      <x:c r="H46" s="22"/>
    </x:row>
    <x:row r="47">
      <x:c r="A47" s="22"/>
      <x:c r="B47" s="22"/>
      <x:c r="C47" s="22"/>
      <x:c r="D47" s="22"/>
      <x:c r="E47" s="22"/>
      <x:c r="F47" s="22"/>
      <x:c r="G47" s="22"/>
      <x:c r="H47" s="2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5acfa1fa68c4af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42" hidden="0" customWidth="1"/>
  </x:cols>
  <x:sheetData>
    <x:row r="1" ht="34" customHeight="1">
      <x:c r="A1" s="20" t="str">
        <x:v>Weekly KPI Input</x:v>
      </x:c>
      <x:c r="B1" s="20" t="str">
        <x:v>Weekly KPI Input</x:v>
      </x:c>
      <x:c r="C1" s="20" t="str">
        <x:v>Weekly KPI Input</x:v>
      </x:c>
      <x:c r="D1" s="20" t="str">
        <x:v>Weekly KPI Input</x:v>
      </x:c>
      <x:c r="E1" s="20" t="str">
        <x:v>Weekly KPI Input</x:v>
      </x:c>
      <x:c r="F1" s="20" t="str">
        <x:v>Weekly KPI Input</x:v>
      </x:c>
      <x:c r="G1" s="20" t="str">
        <x:v>Weekly KPI Input</x:v>
      </x:c>
      <x:c r="H1" s="20" t="str">
        <x:v>Weekly KPI Input</x:v>
      </x:c>
      <x:c r="I1" s="20" t="str">
        <x:v>Weekly KPI Input</x:v>
      </x:c>
      <x:c r="J1" s="20" t="str">
        <x:v>Weekly KPI Input</x:v>
      </x:c>
      <x:c r="K1" s="20" t="str">
        <x:v>Weekly KPI Input</x:v>
      </x:c>
      <x:c r="L1" s="20" t="str">
        <x:v>Weekly KPI Input</x:v>
      </x:c>
    </x:row>
    <x:row r="2" ht="30" customHeight="1">
      <x:c r="A2" s="21" t="str">
        <x:v>Gold cells are editable; use ISO week-ending dates</x:v>
      </x:c>
      <x:c r="B2" s="21" t="str">
        <x:v>Gold cells are editable; use ISO week-ending dates</x:v>
      </x:c>
      <x:c r="C2" s="21" t="str">
        <x:v>Gold cells are editable; use ISO week-ending dates</x:v>
      </x:c>
      <x:c r="D2" s="21" t="str">
        <x:v>Gold cells are editable; use ISO week-ending dates</x:v>
      </x:c>
      <x:c r="E2" s="21" t="str">
        <x:v>Gold cells are editable; use ISO week-ending dates</x:v>
      </x:c>
      <x:c r="F2" s="21" t="str">
        <x:v>Gold cells are editable; use ISO week-ending dates</x:v>
      </x:c>
      <x:c r="G2" s="21" t="str">
        <x:v>Gold cells are editable; use ISO week-ending dates</x:v>
      </x:c>
      <x:c r="H2" s="21" t="str">
        <x:v>Gold cells are editable; use ISO week-ending dates</x:v>
      </x:c>
      <x:c r="I2" s="21" t="str">
        <x:v>Gold cells are editable; use ISO week-ending dates</x:v>
      </x:c>
      <x:c r="J2" s="21" t="str">
        <x:v>Gold cells are editable; use ISO week-ending dates</x:v>
      </x:c>
      <x:c r="K2" s="21" t="str">
        <x:v>Gold cells are editable; use ISO week-ending dates</x:v>
      </x:c>
      <x:c r="L2" s="21" t="str">
        <x:v>Gold cells are editable; use ISO week-ending dates</x:v>
      </x:c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>
      <x:c r="A4" s="23" t="str">
        <x:v>Week ending</x:v>
      </x:c>
      <x:c r="B4" s="24" t="str">
        <x:v>Interviews</x:v>
      </x:c>
      <x:c r="C4" s="24" t="str">
        <x:v>Qualified leads</x:v>
      </x:c>
      <x:c r="D4" s="24" t="str">
        <x:v>Proposal conversion</x:v>
      </x:c>
      <x:c r="E4" s="24" t="str">
        <x:v>Active customers</x:v>
      </x:c>
      <x:c r="F4" s="24" t="str">
        <x:v>Median first response</x:v>
      </x:c>
      <x:c r="G4" s="24" t="str">
        <x:v>Automation success</x:v>
      </x:c>
      <x:c r="H4" s="24" t="str">
        <x:v>Exception rate</x:v>
      </x:c>
      <x:c r="I4" s="24" t="str">
        <x:v>Founder minutes/customer</x:v>
      </x:c>
      <x:c r="J4" s="24" t="str">
        <x:v>Contribution margin</x:v>
      </x:c>
      <x:c r="K4" s="24" t="str">
        <x:v>Monthly churn</x:v>
      </x:c>
      <x:c r="L4" s="25" t="str">
        <x:v>Management note</x:v>
      </x:c>
    </x:row>
    <x:row r="5">
      <x:c r="A5" s="42" t="n">
        <x:v>46234</x:v>
      </x:c>
      <x:c r="B5" s="43"/>
      <x:c r="C5" s="44"/>
      <x:c r="D5" s="45"/>
      <x:c r="E5" s="44"/>
      <x:c r="F5" s="44"/>
      <x:c r="G5" s="45"/>
      <x:c r="H5" s="45"/>
      <x:c r="I5" s="44"/>
      <x:c r="J5" s="45"/>
      <x:c r="K5" s="45"/>
      <x:c r="L5" s="46" t="str"/>
    </x:row>
    <x:row r="6">
      <x:c r="A6" s="42" t="n">
        <x:v>46241</x:v>
      </x:c>
      <x:c r="B6" s="47"/>
      <x:c r="C6" s="48"/>
      <x:c r="D6" s="49"/>
      <x:c r="E6" s="48"/>
      <x:c r="F6" s="48"/>
      <x:c r="G6" s="49"/>
      <x:c r="H6" s="49"/>
      <x:c r="I6" s="48"/>
      <x:c r="J6" s="49"/>
      <x:c r="K6" s="49"/>
      <x:c r="L6" s="50" t="str"/>
    </x:row>
    <x:row r="7">
      <x:c r="A7" s="42" t="n">
        <x:v>46248</x:v>
      </x:c>
      <x:c r="B7" s="47"/>
      <x:c r="C7" s="48"/>
      <x:c r="D7" s="49"/>
      <x:c r="E7" s="48"/>
      <x:c r="F7" s="48"/>
      <x:c r="G7" s="49"/>
      <x:c r="H7" s="49"/>
      <x:c r="I7" s="48"/>
      <x:c r="J7" s="49"/>
      <x:c r="K7" s="49"/>
      <x:c r="L7" s="50" t="str"/>
    </x:row>
    <x:row r="8">
      <x:c r="A8" s="42" t="n">
        <x:v>46255</x:v>
      </x:c>
      <x:c r="B8" s="47"/>
      <x:c r="C8" s="48"/>
      <x:c r="D8" s="49"/>
      <x:c r="E8" s="48"/>
      <x:c r="F8" s="48"/>
      <x:c r="G8" s="49"/>
      <x:c r="H8" s="49"/>
      <x:c r="I8" s="48"/>
      <x:c r="J8" s="49"/>
      <x:c r="K8" s="49"/>
      <x:c r="L8" s="50" t="str"/>
    </x:row>
    <x:row r="9">
      <x:c r="A9" s="42" t="n">
        <x:v>46262</x:v>
      </x:c>
      <x:c r="B9" s="47"/>
      <x:c r="C9" s="48"/>
      <x:c r="D9" s="49"/>
      <x:c r="E9" s="48"/>
      <x:c r="F9" s="48"/>
      <x:c r="G9" s="49"/>
      <x:c r="H9" s="49"/>
      <x:c r="I9" s="48"/>
      <x:c r="J9" s="49"/>
      <x:c r="K9" s="49"/>
      <x:c r="L9" s="50" t="str"/>
    </x:row>
    <x:row r="10">
      <x:c r="A10" s="42" t="n">
        <x:v>46269</x:v>
      </x:c>
      <x:c r="B10" s="47"/>
      <x:c r="C10" s="48"/>
      <x:c r="D10" s="49"/>
      <x:c r="E10" s="48"/>
      <x:c r="F10" s="48"/>
      <x:c r="G10" s="49"/>
      <x:c r="H10" s="49"/>
      <x:c r="I10" s="48"/>
      <x:c r="J10" s="49"/>
      <x:c r="K10" s="49"/>
      <x:c r="L10" s="50" t="str"/>
    </x:row>
    <x:row r="11">
      <x:c r="A11" s="42" t="n">
        <x:v>46276</x:v>
      </x:c>
      <x:c r="B11" s="47"/>
      <x:c r="C11" s="48"/>
      <x:c r="D11" s="49"/>
      <x:c r="E11" s="48"/>
      <x:c r="F11" s="48"/>
      <x:c r="G11" s="49"/>
      <x:c r="H11" s="49"/>
      <x:c r="I11" s="48"/>
      <x:c r="J11" s="49"/>
      <x:c r="K11" s="49"/>
      <x:c r="L11" s="50" t="str"/>
    </x:row>
    <x:row r="12">
      <x:c r="A12" s="42" t="n">
        <x:v>46283</x:v>
      </x:c>
      <x:c r="B12" s="47"/>
      <x:c r="C12" s="48"/>
      <x:c r="D12" s="49"/>
      <x:c r="E12" s="48"/>
      <x:c r="F12" s="48"/>
      <x:c r="G12" s="49"/>
      <x:c r="H12" s="49"/>
      <x:c r="I12" s="48"/>
      <x:c r="J12" s="49"/>
      <x:c r="K12" s="49"/>
      <x:c r="L12" s="50" t="str"/>
    </x:row>
    <x:row r="13">
      <x:c r="A13" s="42" t="n">
        <x:v>46290</x:v>
      </x:c>
      <x:c r="B13" s="47"/>
      <x:c r="C13" s="48"/>
      <x:c r="D13" s="49"/>
      <x:c r="E13" s="48"/>
      <x:c r="F13" s="48"/>
      <x:c r="G13" s="49"/>
      <x:c r="H13" s="49"/>
      <x:c r="I13" s="48"/>
      <x:c r="J13" s="49"/>
      <x:c r="K13" s="49"/>
      <x:c r="L13" s="50" t="str"/>
    </x:row>
    <x:row r="14">
      <x:c r="A14" s="42" t="n">
        <x:v>46297</x:v>
      </x:c>
      <x:c r="B14" s="47"/>
      <x:c r="C14" s="48"/>
      <x:c r="D14" s="49"/>
      <x:c r="E14" s="48"/>
      <x:c r="F14" s="48"/>
      <x:c r="G14" s="49"/>
      <x:c r="H14" s="49"/>
      <x:c r="I14" s="48"/>
      <x:c r="J14" s="49"/>
      <x:c r="K14" s="49"/>
      <x:c r="L14" s="50" t="str"/>
    </x:row>
    <x:row r="15">
      <x:c r="A15" s="42" t="n">
        <x:v>46304</x:v>
      </x:c>
      <x:c r="B15" s="47"/>
      <x:c r="C15" s="48"/>
      <x:c r="D15" s="49"/>
      <x:c r="E15" s="48"/>
      <x:c r="F15" s="48"/>
      <x:c r="G15" s="49"/>
      <x:c r="H15" s="49"/>
      <x:c r="I15" s="48"/>
      <x:c r="J15" s="49"/>
      <x:c r="K15" s="49"/>
      <x:c r="L15" s="50" t="str"/>
    </x:row>
    <x:row r="16">
      <x:c r="A16" s="42" t="n">
        <x:v>46311</x:v>
      </x:c>
      <x:c r="B16" s="47"/>
      <x:c r="C16" s="48"/>
      <x:c r="D16" s="49"/>
      <x:c r="E16" s="48"/>
      <x:c r="F16" s="48"/>
      <x:c r="G16" s="49"/>
      <x:c r="H16" s="49"/>
      <x:c r="I16" s="48"/>
      <x:c r="J16" s="49"/>
      <x:c r="K16" s="49"/>
      <x:c r="L16" s="50" t="str"/>
    </x:row>
    <x:row r="17">
      <x:c r="A17" s="42" t="n">
        <x:v>46318</x:v>
      </x:c>
      <x:c r="B17" s="47"/>
      <x:c r="C17" s="48"/>
      <x:c r="D17" s="49"/>
      <x:c r="E17" s="48"/>
      <x:c r="F17" s="48"/>
      <x:c r="G17" s="49"/>
      <x:c r="H17" s="49"/>
      <x:c r="I17" s="48"/>
      <x:c r="J17" s="49"/>
      <x:c r="K17" s="49"/>
      <x:c r="L17" s="50" t="str"/>
    </x:row>
    <x:row r="18">
      <x:c r="A18" s="42" t="n">
        <x:v>46325</x:v>
      </x:c>
      <x:c r="B18" s="47"/>
      <x:c r="C18" s="48"/>
      <x:c r="D18" s="49"/>
      <x:c r="E18" s="48"/>
      <x:c r="F18" s="48"/>
      <x:c r="G18" s="49"/>
      <x:c r="H18" s="49"/>
      <x:c r="I18" s="48"/>
      <x:c r="J18" s="49"/>
      <x:c r="K18" s="49"/>
      <x:c r="L18" s="50" t="str"/>
    </x:row>
    <x:row r="19">
      <x:c r="A19" s="42" t="n">
        <x:v>46332</x:v>
      </x:c>
      <x:c r="B19" s="47"/>
      <x:c r="C19" s="48"/>
      <x:c r="D19" s="49"/>
      <x:c r="E19" s="48"/>
      <x:c r="F19" s="48"/>
      <x:c r="G19" s="49"/>
      <x:c r="H19" s="49"/>
      <x:c r="I19" s="48"/>
      <x:c r="J19" s="49"/>
      <x:c r="K19" s="49"/>
      <x:c r="L19" s="50" t="str"/>
    </x:row>
    <x:row r="20">
      <x:c r="A20" s="42" t="n">
        <x:v>46339</x:v>
      </x:c>
      <x:c r="B20" s="47"/>
      <x:c r="C20" s="48"/>
      <x:c r="D20" s="49"/>
      <x:c r="E20" s="48"/>
      <x:c r="F20" s="48"/>
      <x:c r="G20" s="49"/>
      <x:c r="H20" s="49"/>
      <x:c r="I20" s="48"/>
      <x:c r="J20" s="49"/>
      <x:c r="K20" s="49"/>
      <x:c r="L20" s="50" t="str"/>
    </x:row>
    <x:row r="21">
      <x:c r="A21" s="42" t="n">
        <x:v>46346</x:v>
      </x:c>
      <x:c r="B21" s="47"/>
      <x:c r="C21" s="48"/>
      <x:c r="D21" s="49"/>
      <x:c r="E21" s="48"/>
      <x:c r="F21" s="48"/>
      <x:c r="G21" s="49"/>
      <x:c r="H21" s="49"/>
      <x:c r="I21" s="48"/>
      <x:c r="J21" s="49"/>
      <x:c r="K21" s="49"/>
      <x:c r="L21" s="50" t="str"/>
    </x:row>
    <x:row r="22">
      <x:c r="A22" s="42" t="n">
        <x:v>46353</x:v>
      </x:c>
      <x:c r="B22" s="47"/>
      <x:c r="C22" s="48"/>
      <x:c r="D22" s="49"/>
      <x:c r="E22" s="48"/>
      <x:c r="F22" s="48"/>
      <x:c r="G22" s="49"/>
      <x:c r="H22" s="49"/>
      <x:c r="I22" s="48"/>
      <x:c r="J22" s="49"/>
      <x:c r="K22" s="49"/>
      <x:c r="L22" s="50" t="str"/>
    </x:row>
    <x:row r="23">
      <x:c r="A23" s="42" t="n">
        <x:v>46360</x:v>
      </x:c>
      <x:c r="B23" s="47"/>
      <x:c r="C23" s="48"/>
      <x:c r="D23" s="49"/>
      <x:c r="E23" s="48"/>
      <x:c r="F23" s="48"/>
      <x:c r="G23" s="49"/>
      <x:c r="H23" s="49"/>
      <x:c r="I23" s="48"/>
      <x:c r="J23" s="49"/>
      <x:c r="K23" s="49"/>
      <x:c r="L23" s="50" t="str"/>
    </x:row>
    <x:row r="24">
      <x:c r="A24" s="42" t="n">
        <x:v>46367</x:v>
      </x:c>
      <x:c r="B24" s="47"/>
      <x:c r="C24" s="48"/>
      <x:c r="D24" s="49"/>
      <x:c r="E24" s="48"/>
      <x:c r="F24" s="48"/>
      <x:c r="G24" s="49"/>
      <x:c r="H24" s="49"/>
      <x:c r="I24" s="48"/>
      <x:c r="J24" s="49"/>
      <x:c r="K24" s="49"/>
      <x:c r="L24" s="50" t="str"/>
    </x:row>
    <x:row r="25">
      <x:c r="A25" s="42" t="n">
        <x:v>46374</x:v>
      </x:c>
      <x:c r="B25" s="47"/>
      <x:c r="C25" s="48"/>
      <x:c r="D25" s="49"/>
      <x:c r="E25" s="48"/>
      <x:c r="F25" s="48"/>
      <x:c r="G25" s="49"/>
      <x:c r="H25" s="49"/>
      <x:c r="I25" s="48"/>
      <x:c r="J25" s="49"/>
      <x:c r="K25" s="49"/>
      <x:c r="L25" s="50" t="str"/>
    </x:row>
    <x:row r="26">
      <x:c r="A26" s="42" t="n">
        <x:v>46381</x:v>
      </x:c>
      <x:c r="B26" s="47"/>
      <x:c r="C26" s="48"/>
      <x:c r="D26" s="49"/>
      <x:c r="E26" s="48"/>
      <x:c r="F26" s="48"/>
      <x:c r="G26" s="49"/>
      <x:c r="H26" s="49"/>
      <x:c r="I26" s="48"/>
      <x:c r="J26" s="49"/>
      <x:c r="K26" s="49"/>
      <x:c r="L26" s="50" t="str"/>
    </x:row>
    <x:row r="27">
      <x:c r="A27" s="42" t="n">
        <x:v>46388</x:v>
      </x:c>
      <x:c r="B27" s="47"/>
      <x:c r="C27" s="48"/>
      <x:c r="D27" s="49"/>
      <x:c r="E27" s="48"/>
      <x:c r="F27" s="48"/>
      <x:c r="G27" s="49"/>
      <x:c r="H27" s="49"/>
      <x:c r="I27" s="48"/>
      <x:c r="J27" s="49"/>
      <x:c r="K27" s="49"/>
      <x:c r="L27" s="50" t="str"/>
    </x:row>
    <x:row r="28">
      <x:c r="A28" s="42" t="n">
        <x:v>46395</x:v>
      </x:c>
      <x:c r="B28" s="47"/>
      <x:c r="C28" s="48"/>
      <x:c r="D28" s="49"/>
      <x:c r="E28" s="48"/>
      <x:c r="F28" s="48"/>
      <x:c r="G28" s="49"/>
      <x:c r="H28" s="49"/>
      <x:c r="I28" s="48"/>
      <x:c r="J28" s="49"/>
      <x:c r="K28" s="49"/>
      <x:c r="L28" s="50" t="str"/>
    </x:row>
    <x:row r="29">
      <x:c r="A29" s="42" t="n">
        <x:v>46402</x:v>
      </x:c>
      <x:c r="B29" s="47"/>
      <x:c r="C29" s="48"/>
      <x:c r="D29" s="49"/>
      <x:c r="E29" s="48"/>
      <x:c r="F29" s="48"/>
      <x:c r="G29" s="49"/>
      <x:c r="H29" s="49"/>
      <x:c r="I29" s="48"/>
      <x:c r="J29" s="49"/>
      <x:c r="K29" s="49"/>
      <x:c r="L29" s="50" t="str"/>
    </x:row>
    <x:row r="30">
      <x:c r="A30" s="42" t="n">
        <x:v>46409</x:v>
      </x:c>
      <x:c r="B30" s="47"/>
      <x:c r="C30" s="48"/>
      <x:c r="D30" s="49"/>
      <x:c r="E30" s="48"/>
      <x:c r="F30" s="48"/>
      <x:c r="G30" s="49"/>
      <x:c r="H30" s="49"/>
      <x:c r="I30" s="48"/>
      <x:c r="J30" s="49"/>
      <x:c r="K30" s="49"/>
      <x:c r="L30" s="50" t="str"/>
    </x:row>
    <x:row r="31">
      <x:c r="A31" s="42" t="n">
        <x:v>46416</x:v>
      </x:c>
      <x:c r="B31" s="47"/>
      <x:c r="C31" s="48"/>
      <x:c r="D31" s="49"/>
      <x:c r="E31" s="48"/>
      <x:c r="F31" s="48"/>
      <x:c r="G31" s="49"/>
      <x:c r="H31" s="49"/>
      <x:c r="I31" s="48"/>
      <x:c r="J31" s="49"/>
      <x:c r="K31" s="49"/>
      <x:c r="L31" s="50" t="str"/>
    </x:row>
    <x:row r="32">
      <x:c r="A32" s="42" t="n">
        <x:v>46423</x:v>
      </x:c>
      <x:c r="B32" s="47"/>
      <x:c r="C32" s="48"/>
      <x:c r="D32" s="49"/>
      <x:c r="E32" s="48"/>
      <x:c r="F32" s="48"/>
      <x:c r="G32" s="49"/>
      <x:c r="H32" s="49"/>
      <x:c r="I32" s="48"/>
      <x:c r="J32" s="49"/>
      <x:c r="K32" s="49"/>
      <x:c r="L32" s="50" t="str"/>
    </x:row>
    <x:row r="33">
      <x:c r="A33" s="42" t="n">
        <x:v>46430</x:v>
      </x:c>
      <x:c r="B33" s="47"/>
      <x:c r="C33" s="48"/>
      <x:c r="D33" s="49"/>
      <x:c r="E33" s="48"/>
      <x:c r="F33" s="48"/>
      <x:c r="G33" s="49"/>
      <x:c r="H33" s="49"/>
      <x:c r="I33" s="48"/>
      <x:c r="J33" s="49"/>
      <x:c r="K33" s="49"/>
      <x:c r="L33" s="50" t="str"/>
    </x:row>
    <x:row r="34">
      <x:c r="A34" s="42" t="n">
        <x:v>46437</x:v>
      </x:c>
      <x:c r="B34" s="47"/>
      <x:c r="C34" s="48"/>
      <x:c r="D34" s="49"/>
      <x:c r="E34" s="48"/>
      <x:c r="F34" s="48"/>
      <x:c r="G34" s="49"/>
      <x:c r="H34" s="49"/>
      <x:c r="I34" s="48"/>
      <x:c r="J34" s="49"/>
      <x:c r="K34" s="49"/>
      <x:c r="L34" s="50" t="str"/>
    </x:row>
    <x:row r="35">
      <x:c r="A35" s="42" t="n">
        <x:v>46444</x:v>
      </x:c>
      <x:c r="B35" s="47"/>
      <x:c r="C35" s="48"/>
      <x:c r="D35" s="49"/>
      <x:c r="E35" s="48"/>
      <x:c r="F35" s="48"/>
      <x:c r="G35" s="49"/>
      <x:c r="H35" s="49"/>
      <x:c r="I35" s="48"/>
      <x:c r="J35" s="49"/>
      <x:c r="K35" s="49"/>
      <x:c r="L35" s="50" t="str"/>
    </x:row>
    <x:row r="36">
      <x:c r="A36" s="42" t="n">
        <x:v>46451</x:v>
      </x:c>
      <x:c r="B36" s="47"/>
      <x:c r="C36" s="48"/>
      <x:c r="D36" s="49"/>
      <x:c r="E36" s="48"/>
      <x:c r="F36" s="48"/>
      <x:c r="G36" s="49"/>
      <x:c r="H36" s="49"/>
      <x:c r="I36" s="48"/>
      <x:c r="J36" s="49"/>
      <x:c r="K36" s="49"/>
      <x:c r="L36" s="50" t="str"/>
    </x:row>
    <x:row r="37">
      <x:c r="A37" s="42" t="n">
        <x:v>46458</x:v>
      </x:c>
      <x:c r="B37" s="47"/>
      <x:c r="C37" s="48"/>
      <x:c r="D37" s="49"/>
      <x:c r="E37" s="48"/>
      <x:c r="F37" s="48"/>
      <x:c r="G37" s="49"/>
      <x:c r="H37" s="49"/>
      <x:c r="I37" s="48"/>
      <x:c r="J37" s="49"/>
      <x:c r="K37" s="49"/>
      <x:c r="L37" s="50" t="str"/>
    </x:row>
    <x:row r="38">
      <x:c r="A38" s="42" t="n">
        <x:v>46465</x:v>
      </x:c>
      <x:c r="B38" s="47"/>
      <x:c r="C38" s="48"/>
      <x:c r="D38" s="49"/>
      <x:c r="E38" s="48"/>
      <x:c r="F38" s="48"/>
      <x:c r="G38" s="49"/>
      <x:c r="H38" s="49"/>
      <x:c r="I38" s="48"/>
      <x:c r="J38" s="49"/>
      <x:c r="K38" s="49"/>
      <x:c r="L38" s="50" t="str"/>
    </x:row>
    <x:row r="39">
      <x:c r="A39" s="42" t="n">
        <x:v>46472</x:v>
      </x:c>
      <x:c r="B39" s="47"/>
      <x:c r="C39" s="48"/>
      <x:c r="D39" s="49"/>
      <x:c r="E39" s="48"/>
      <x:c r="F39" s="48"/>
      <x:c r="G39" s="49"/>
      <x:c r="H39" s="49"/>
      <x:c r="I39" s="48"/>
      <x:c r="J39" s="49"/>
      <x:c r="K39" s="49"/>
      <x:c r="L39" s="50" t="str"/>
    </x:row>
    <x:row r="40">
      <x:c r="A40" s="42" t="n">
        <x:v>46479</x:v>
      </x:c>
      <x:c r="B40" s="47"/>
      <x:c r="C40" s="48"/>
      <x:c r="D40" s="49"/>
      <x:c r="E40" s="48"/>
      <x:c r="F40" s="48"/>
      <x:c r="G40" s="49"/>
      <x:c r="H40" s="49"/>
      <x:c r="I40" s="48"/>
      <x:c r="J40" s="49"/>
      <x:c r="K40" s="49"/>
      <x:c r="L40" s="50" t="str"/>
    </x:row>
    <x:row r="41">
      <x:c r="A41" s="42" t="n">
        <x:v>46486</x:v>
      </x:c>
      <x:c r="B41" s="47"/>
      <x:c r="C41" s="48"/>
      <x:c r="D41" s="49"/>
      <x:c r="E41" s="48"/>
      <x:c r="F41" s="48"/>
      <x:c r="G41" s="49"/>
      <x:c r="H41" s="49"/>
      <x:c r="I41" s="48"/>
      <x:c r="J41" s="49"/>
      <x:c r="K41" s="49"/>
      <x:c r="L41" s="50" t="str"/>
    </x:row>
    <x:row r="42">
      <x:c r="A42" s="42" t="n">
        <x:v>46493</x:v>
      </x:c>
      <x:c r="B42" s="47"/>
      <x:c r="C42" s="48"/>
      <x:c r="D42" s="49"/>
      <x:c r="E42" s="48"/>
      <x:c r="F42" s="48"/>
      <x:c r="G42" s="49"/>
      <x:c r="H42" s="49"/>
      <x:c r="I42" s="48"/>
      <x:c r="J42" s="49"/>
      <x:c r="K42" s="49"/>
      <x:c r="L42" s="50" t="str"/>
    </x:row>
    <x:row r="43">
      <x:c r="A43" s="42" t="n">
        <x:v>46500</x:v>
      </x:c>
      <x:c r="B43" s="47"/>
      <x:c r="C43" s="48"/>
      <x:c r="D43" s="49"/>
      <x:c r="E43" s="48"/>
      <x:c r="F43" s="48"/>
      <x:c r="G43" s="49"/>
      <x:c r="H43" s="49"/>
      <x:c r="I43" s="48"/>
      <x:c r="J43" s="49"/>
      <x:c r="K43" s="49"/>
      <x:c r="L43" s="50" t="str"/>
    </x:row>
    <x:row r="44">
      <x:c r="A44" s="42" t="n">
        <x:v>46507</x:v>
      </x:c>
      <x:c r="B44" s="47"/>
      <x:c r="C44" s="48"/>
      <x:c r="D44" s="49"/>
      <x:c r="E44" s="48"/>
      <x:c r="F44" s="48"/>
      <x:c r="G44" s="49"/>
      <x:c r="H44" s="49"/>
      <x:c r="I44" s="48"/>
      <x:c r="J44" s="49"/>
      <x:c r="K44" s="49"/>
      <x:c r="L44" s="50" t="str"/>
    </x:row>
    <x:row r="45">
      <x:c r="A45" s="42" t="n">
        <x:v>46514</x:v>
      </x:c>
      <x:c r="B45" s="47"/>
      <x:c r="C45" s="48"/>
      <x:c r="D45" s="49"/>
      <x:c r="E45" s="48"/>
      <x:c r="F45" s="48"/>
      <x:c r="G45" s="49"/>
      <x:c r="H45" s="49"/>
      <x:c r="I45" s="48"/>
      <x:c r="J45" s="49"/>
      <x:c r="K45" s="49"/>
      <x:c r="L45" s="50" t="str"/>
    </x:row>
    <x:row r="46">
      <x:c r="A46" s="42" t="n">
        <x:v>46521</x:v>
      </x:c>
      <x:c r="B46" s="47"/>
      <x:c r="C46" s="48"/>
      <x:c r="D46" s="49"/>
      <x:c r="E46" s="48"/>
      <x:c r="F46" s="48"/>
      <x:c r="G46" s="49"/>
      <x:c r="H46" s="49"/>
      <x:c r="I46" s="48"/>
      <x:c r="J46" s="49"/>
      <x:c r="K46" s="49"/>
      <x:c r="L46" s="50" t="str"/>
    </x:row>
    <x:row r="47">
      <x:c r="A47" s="42" t="n">
        <x:v>46528</x:v>
      </x:c>
      <x:c r="B47" s="47"/>
      <x:c r="C47" s="48"/>
      <x:c r="D47" s="49"/>
      <x:c r="E47" s="48"/>
      <x:c r="F47" s="48"/>
      <x:c r="G47" s="49"/>
      <x:c r="H47" s="49"/>
      <x:c r="I47" s="48"/>
      <x:c r="J47" s="49"/>
      <x:c r="K47" s="49"/>
      <x:c r="L47" s="50" t="str"/>
    </x:row>
    <x:row r="48">
      <x:c r="A48" s="42" t="n">
        <x:v>46535</x:v>
      </x:c>
      <x:c r="B48" s="47"/>
      <x:c r="C48" s="48"/>
      <x:c r="D48" s="49"/>
      <x:c r="E48" s="48"/>
      <x:c r="F48" s="48"/>
      <x:c r="G48" s="49"/>
      <x:c r="H48" s="49"/>
      <x:c r="I48" s="48"/>
      <x:c r="J48" s="49"/>
      <x:c r="K48" s="49"/>
      <x:c r="L48" s="50" t="str"/>
    </x:row>
    <x:row r="49">
      <x:c r="A49" s="42" t="n">
        <x:v>46542</x:v>
      </x:c>
      <x:c r="B49" s="47"/>
      <x:c r="C49" s="48"/>
      <x:c r="D49" s="49"/>
      <x:c r="E49" s="48"/>
      <x:c r="F49" s="48"/>
      <x:c r="G49" s="49"/>
      <x:c r="H49" s="49"/>
      <x:c r="I49" s="48"/>
      <x:c r="J49" s="49"/>
      <x:c r="K49" s="49"/>
      <x:c r="L49" s="50" t="str"/>
    </x:row>
    <x:row r="50">
      <x:c r="A50" s="42" t="n">
        <x:v>46549</x:v>
      </x:c>
      <x:c r="B50" s="47"/>
      <x:c r="C50" s="48"/>
      <x:c r="D50" s="49"/>
      <x:c r="E50" s="48"/>
      <x:c r="F50" s="48"/>
      <x:c r="G50" s="49"/>
      <x:c r="H50" s="49"/>
      <x:c r="I50" s="48"/>
      <x:c r="J50" s="49"/>
      <x:c r="K50" s="49"/>
      <x:c r="L50" s="50" t="str"/>
    </x:row>
    <x:row r="51">
      <x:c r="A51" s="42" t="n">
        <x:v>46556</x:v>
      </x:c>
      <x:c r="B51" s="47"/>
      <x:c r="C51" s="48"/>
      <x:c r="D51" s="49"/>
      <x:c r="E51" s="48"/>
      <x:c r="F51" s="48"/>
      <x:c r="G51" s="49"/>
      <x:c r="H51" s="49"/>
      <x:c r="I51" s="48"/>
      <x:c r="J51" s="49"/>
      <x:c r="K51" s="49"/>
      <x:c r="L51" s="50" t="str"/>
    </x:row>
    <x:row r="52">
      <x:c r="A52" s="42" t="n">
        <x:v>46563</x:v>
      </x:c>
      <x:c r="B52" s="47"/>
      <x:c r="C52" s="48"/>
      <x:c r="D52" s="49"/>
      <x:c r="E52" s="48"/>
      <x:c r="F52" s="48"/>
      <x:c r="G52" s="49"/>
      <x:c r="H52" s="49"/>
      <x:c r="I52" s="48"/>
      <x:c r="J52" s="49"/>
      <x:c r="K52" s="49"/>
      <x:c r="L52" s="50" t="str"/>
    </x:row>
    <x:row r="53">
      <x:c r="A53" s="42" t="n">
        <x:v>46570</x:v>
      </x:c>
      <x:c r="B53" s="47"/>
      <x:c r="C53" s="48"/>
      <x:c r="D53" s="49"/>
      <x:c r="E53" s="48"/>
      <x:c r="F53" s="48"/>
      <x:c r="G53" s="49"/>
      <x:c r="H53" s="49"/>
      <x:c r="I53" s="48"/>
      <x:c r="J53" s="49"/>
      <x:c r="K53" s="49"/>
      <x:c r="L53" s="50" t="str"/>
    </x:row>
    <x:row r="54">
      <x:c r="A54" s="42" t="n">
        <x:v>46577</x:v>
      </x:c>
      <x:c r="B54" s="47"/>
      <x:c r="C54" s="48"/>
      <x:c r="D54" s="49"/>
      <x:c r="E54" s="48"/>
      <x:c r="F54" s="48"/>
      <x:c r="G54" s="49"/>
      <x:c r="H54" s="49"/>
      <x:c r="I54" s="48"/>
      <x:c r="J54" s="49"/>
      <x:c r="K54" s="49"/>
      <x:c r="L54" s="50" t="str"/>
    </x:row>
    <x:row r="55">
      <x:c r="A55" s="42" t="n">
        <x:v>46584</x:v>
      </x:c>
      <x:c r="B55" s="47"/>
      <x:c r="C55" s="48"/>
      <x:c r="D55" s="49"/>
      <x:c r="E55" s="48"/>
      <x:c r="F55" s="48"/>
      <x:c r="G55" s="49"/>
      <x:c r="H55" s="49"/>
      <x:c r="I55" s="48"/>
      <x:c r="J55" s="49"/>
      <x:c r="K55" s="49"/>
      <x:c r="L55" s="50" t="str"/>
    </x:row>
    <x:row r="56">
      <x:c r="A56" s="42" t="n">
        <x:v>46591</x:v>
      </x:c>
      <x:c r="B56" s="51"/>
      <x:c r="C56" s="52"/>
      <x:c r="D56" s="53"/>
      <x:c r="E56" s="52"/>
      <x:c r="F56" s="52"/>
      <x:c r="G56" s="53"/>
      <x:c r="H56" s="53"/>
      <x:c r="I56" s="52"/>
      <x:c r="J56" s="53"/>
      <x:c r="K56" s="53"/>
      <x:c r="L56" s="5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20" t="str">
        <x:v>KPI Definitions</x:v>
      </x:c>
      <x:c r="B1" s="20" t="str">
        <x:v>KPI Definitions</x:v>
      </x:c>
      <x:c r="C1" s="20" t="str">
        <x:v>KPI Definitions</x:v>
      </x:c>
      <x:c r="D1" s="20" t="str">
        <x:v>KPI Definitions</x:v>
      </x:c>
      <x:c r="E1" s="20" t="str">
        <x:v>KPI Definitions</x:v>
      </x:c>
      <x:c r="F1" s="20" t="str">
        <x:v>KPI Definitions</x:v>
      </x:c>
      <x:c r="G1" s="20" t="str">
        <x:v>KPI Definitions</x:v>
      </x:c>
    </x:row>
    <x:row r="2" ht="30" customHeight="1">
      <x:c r="A2" s="21" t="str">
        <x:v>One definition per metric prevents misleading scorecards</x:v>
      </x:c>
      <x:c r="B2" s="21" t="str">
        <x:v>One definition per metric prevents misleading scorecards</x:v>
      </x:c>
      <x:c r="C2" s="21" t="str">
        <x:v>One definition per metric prevents misleading scorecards</x:v>
      </x:c>
      <x:c r="D2" s="21" t="str">
        <x:v>One definition per metric prevents misleading scorecards</x:v>
      </x:c>
      <x:c r="E2" s="21" t="str">
        <x:v>One definition per metric prevents misleading scorecards</x:v>
      </x:c>
      <x:c r="F2" s="21" t="str">
        <x:v>One definition per metric prevents misleading scorecards</x:v>
      </x:c>
      <x:c r="G2" s="21" t="str">
        <x:v>One definition per metric prevents misleading scorecards</x:v>
      </x:c>
    </x:row>
    <x:row r="3">
      <x:c r="A3" s="22"/>
      <x:c r="B3" s="22"/>
      <x:c r="C3" s="22"/>
      <x:c r="D3" s="22"/>
      <x:c r="E3" s="22"/>
      <x:c r="F3" s="22"/>
      <x:c r="G3" s="22"/>
    </x:row>
    <x:row r="4">
      <x:c r="A4" s="23" t="str">
        <x:v>Metric</x:v>
      </x:c>
      <x:c r="B4" s="24" t="str">
        <x:v>Definition</x:v>
      </x:c>
      <x:c r="C4" s="24" t="str">
        <x:v>Calculation</x:v>
      </x:c>
      <x:c r="D4" s="24" t="str">
        <x:v>Direction</x:v>
      </x:c>
      <x:c r="E4" s="24" t="str">
        <x:v>Cadence</x:v>
      </x:c>
      <x:c r="F4" s="24" t="str">
        <x:v>Owner</x:v>
      </x:c>
      <x:c r="G4" s="25" t="str">
        <x:v>Data source</x:v>
      </x:c>
    </x:row>
    <x:row r="5">
      <x:c r="A5" s="56" t="str">
        <x:v>Customer interviews</x:v>
      </x:c>
      <x:c r="B5" s="56" t="str">
        <x:v>Completed structured problem interviews</x:v>
      </x:c>
      <x:c r="C5" s="56" t="str">
        <x:v>Count of completed records</x:v>
      </x:c>
      <x:c r="D5" s="56" t="str">
        <x:v>Higher during validation</x:v>
      </x:c>
      <x:c r="E5" s="56" t="str">
        <x:v>Weekly</x:v>
      </x:c>
      <x:c r="F5" s="56" t="str">
        <x:v>Founder</x:v>
      </x:c>
      <x:c r="G5" s="56" t="str">
        <x:v>Interview log</x:v>
      </x:c>
    </x:row>
    <x:row r="6">
      <x:c r="A6" s="56" t="str">
        <x:v>Qualified leads</x:v>
      </x:c>
      <x:c r="B6" s="56" t="str">
        <x:v>Leads meeting documented fit criteria</x:v>
      </x:c>
      <x:c r="C6" s="56" t="str">
        <x:v>Count meeting policy</x:v>
      </x:c>
      <x:c r="D6" s="56" t="str">
        <x:v>Higher</x:v>
      </x:c>
      <x:c r="E6" s="56" t="str">
        <x:v>Weekly</x:v>
      </x:c>
      <x:c r="F6" s="56" t="str">
        <x:v>Sales</x:v>
      </x:c>
      <x:c r="G6" s="56" t="str">
        <x:v>CRM</x:v>
      </x:c>
    </x:row>
    <x:row r="7">
      <x:c r="A7" s="56" t="str">
        <x:v>Proposal conversion</x:v>
      </x:c>
      <x:c r="B7" s="56" t="str">
        <x:v>Won proposals divided by decided proposals</x:v>
      </x:c>
      <x:c r="C7" s="56" t="str">
        <x:v>Won / (won + lost)</x:v>
      </x:c>
      <x:c r="D7" s="56" t="str">
        <x:v>Higher</x:v>
      </x:c>
      <x:c r="E7" s="56" t="str">
        <x:v>Rolling monthly</x:v>
      </x:c>
      <x:c r="F7" s="56" t="str">
        <x:v>Sales</x:v>
      </x:c>
      <x:c r="G7" s="56" t="str">
        <x:v>CRM</x:v>
      </x:c>
    </x:row>
    <x:row r="8">
      <x:c r="A8" s="56" t="str">
        <x:v>Active paying customers</x:v>
      </x:c>
      <x:c r="B8" s="56" t="str">
        <x:v>Customers with active paid engagement</x:v>
      </x:c>
      <x:c r="C8" s="56" t="str">
        <x:v>Distinct active engagements</x:v>
      </x:c>
      <x:c r="D8" s="56" t="str">
        <x:v>Higher</x:v>
      </x:c>
      <x:c r="E8" s="56" t="str">
        <x:v>Weekly</x:v>
      </x:c>
      <x:c r="F8" s="56" t="str">
        <x:v>Founder</x:v>
      </x:c>
      <x:c r="G8" s="56" t="str">
        <x:v>Billing</x:v>
      </x:c>
    </x:row>
    <x:row r="9">
      <x:c r="A9" s="56" t="str">
        <x:v>Median first response</x:v>
      </x:c>
      <x:c r="B9" s="56" t="str">
        <x:v>Median minutes from eligible enquiry to first response</x:v>
      </x:c>
      <x:c r="C9" s="56" t="str">
        <x:v>Median(response - received)</x:v>
      </x:c>
      <x:c r="D9" s="56" t="str">
        <x:v>Lower</x:v>
      </x:c>
      <x:c r="E9" s="56" t="str">
        <x:v>Weekly</x:v>
      </x:c>
      <x:c r="F9" s="56" t="str">
        <x:v>Operations</x:v>
      </x:c>
      <x:c r="G9" s="56" t="str">
        <x:v>Workflow log</x:v>
      </x:c>
    </x:row>
    <x:row r="10">
      <x:c r="A10" s="56" t="str">
        <x:v>Automation success</x:v>
      </x:c>
      <x:c r="B10" s="56" t="str">
        <x:v>Runs completing without manual repair</x:v>
      </x:c>
      <x:c r="C10" s="56" t="str">
        <x:v>Successful automated runs / eligible runs</x:v>
      </x:c>
      <x:c r="D10" s="56" t="str">
        <x:v>Higher</x:v>
      </x:c>
      <x:c r="E10" s="56" t="str">
        <x:v>Weekly</x:v>
      </x:c>
      <x:c r="F10" s="56" t="str">
        <x:v>Product</x:v>
      </x:c>
      <x:c r="G10" s="56" t="str">
        <x:v>Workflow log</x:v>
      </x:c>
    </x:row>
    <x:row r="11">
      <x:c r="A11" s="56" t="str">
        <x:v>Exception rate</x:v>
      </x:c>
      <x:c r="B11" s="56" t="str">
        <x:v>Runs requiring manual exception handling</x:v>
      </x:c>
      <x:c r="C11" s="56" t="str">
        <x:v>Exception runs / all runs</x:v>
      </x:c>
      <x:c r="D11" s="56" t="str">
        <x:v>Lower</x:v>
      </x:c>
      <x:c r="E11" s="56" t="str">
        <x:v>Weekly</x:v>
      </x:c>
      <x:c r="F11" s="56" t="str">
        <x:v>Operations</x:v>
      </x:c>
      <x:c r="G11" s="56" t="str">
        <x:v>Workflow log</x:v>
      </x:c>
    </x:row>
    <x:row r="12">
      <x:c r="A12" s="56" t="str">
        <x:v>Founder minutes/customer</x:v>
      </x:c>
      <x:c r="B12" s="56" t="str">
        <x:v>Founder delivery and support time per active customer</x:v>
      </x:c>
      <x:c r="C12" s="56" t="str">
        <x:v>Tracked minutes / active customers</x:v>
      </x:c>
      <x:c r="D12" s="56" t="str">
        <x:v>Lower after quality stable</x:v>
      </x:c>
      <x:c r="E12" s="56" t="str">
        <x:v>Weekly</x:v>
      </x:c>
      <x:c r="F12" s="56" t="str">
        <x:v>Founder</x:v>
      </x:c>
      <x:c r="G12" s="56" t="str">
        <x:v>Time log</x:v>
      </x:c>
    </x:row>
    <x:row r="13">
      <x:c r="A13" s="56" t="str">
        <x:v>Contribution margin</x:v>
      </x:c>
      <x:c r="B13" s="56" t="str">
        <x:v>Revenue less variable delivery costs</x:v>
      </x:c>
      <x:c r="C13" s="56" t="str">
        <x:v>Contribution / revenue</x:v>
      </x:c>
      <x:c r="D13" s="56" t="str">
        <x:v>Higher</x:v>
      </x:c>
      <x:c r="E13" s="56" t="str">
        <x:v>Monthly</x:v>
      </x:c>
      <x:c r="F13" s="56" t="str">
        <x:v>Finance</x:v>
      </x:c>
      <x:c r="G13" s="56" t="str">
        <x:v>Financial model</x:v>
      </x:c>
    </x:row>
    <x:row r="14">
      <x:c r="A14" s="56" t="str">
        <x:v>Customer churn</x:v>
      </x:c>
      <x:c r="B14" s="56" t="str">
        <x:v>Customers lost divided by opening customers</x:v>
      </x:c>
      <x:c r="C14" s="56" t="str">
        <x:v>Lost / opening customers</x:v>
      </x:c>
      <x:c r="D14" s="56" t="str">
        <x:v>Lower</x:v>
      </x:c>
      <x:c r="E14" s="56" t="str">
        <x:v>Monthly</x:v>
      </x:c>
      <x:c r="F14" s="56" t="str">
        <x:v>Customer success</x:v>
      </x:c>
      <x:c r="G14" s="56" t="str">
        <x:v>Billing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</x:cols>
  <x:sheetData>
    <x:row r="1" ht="34" customHeight="1">
      <x:c r="A1" s="20" t="str">
        <x:v>Scorecard Checks</x:v>
      </x:c>
      <x:c r="B1" s="20" t="str">
        <x:v>Scorecard Checks</x:v>
      </x:c>
      <x:c r="C1" s="20" t="str">
        <x:v>Scorecard Checks</x:v>
      </x:c>
      <x:c r="D1" s="20" t="str">
        <x:v>Scorecard Checks</x:v>
      </x:c>
      <x:c r="E1" s="20" t="str">
        <x:v>Scorecard Checks</x:v>
      </x:c>
      <x:c r="F1" s="20" t="str">
        <x:v>Scorecard Checks</x:v>
      </x:c>
    </x:row>
    <x:row r="2" ht="30" customHeight="1">
      <x:c r="A2" s="21" t="str">
        <x:v>Integrity checks do not replace management interpretation</x:v>
      </x:c>
      <x:c r="B2" s="21" t="str">
        <x:v>Integrity checks do not replace management interpretation</x:v>
      </x:c>
      <x:c r="C2" s="21" t="str">
        <x:v>Integrity checks do not replace management interpretation</x:v>
      </x:c>
      <x:c r="D2" s="21" t="str">
        <x:v>Integrity checks do not replace management interpretation</x:v>
      </x:c>
      <x:c r="E2" s="21" t="str">
        <x:v>Integrity checks do not replace management interpretation</x:v>
      </x:c>
      <x:c r="F2" s="21" t="str">
        <x:v>Integrity checks do not replace management interpretation</x:v>
      </x:c>
    </x:row>
    <x:row r="3">
      <x:c r="A3" s="22"/>
      <x:c r="B3" s="22"/>
      <x:c r="C3" s="22"/>
      <x:c r="D3" s="22"/>
      <x:c r="E3" s="22"/>
      <x:c r="F3" s="22"/>
    </x:row>
    <x:row r="4">
      <x:c r="A4" s="23" t="str">
        <x:v>Check</x:v>
      </x:c>
      <x:c r="B4" s="24" t="str">
        <x:v>Actual</x:v>
      </x:c>
      <x:c r="C4" s="24" t="str">
        <x:v>Expected</x:v>
      </x:c>
      <x:c r="D4" s="24" t="str">
        <x:v>Difference</x:v>
      </x:c>
      <x:c r="E4" s="24" t="str">
        <x:v>Status</x:v>
      </x:c>
      <x:c r="F4" s="25" t="str">
        <x:v>Note</x:v>
      </x:c>
    </x:row>
    <x:row r="5">
      <x:c r="A5" s="22" t="str">
        <x:v>Weekly date rows</x:v>
      </x:c>
      <x:c r="B5" s="22" t="n">
        <x:f>COUNT('Weekly KPIs'!A5:A56)</x:f>
        <x:v>52</x:v>
      </x:c>
      <x:c r="C5" s="22" t="n">
        <x:v>52</x:v>
      </x:c>
      <x:c r="D5" s="22" t="n">
        <x:f>B5-C5</x:f>
        <x:v>0</x:v>
      </x:c>
      <x:c r="E5" s="22" t="str">
        <x:f>IF(D5=0,"PASS","FAIL")</x:f>
        <x:v>PASS</x:v>
      </x:c>
      <x:c r="F5" s="22" t="str">
        <x:v>Weekly KPIs A5:A56</x:v>
      </x:c>
    </x:row>
    <x:row r="6">
      <x:c r="A6" s="22" t="str">
        <x:v>Unique KPI definitions</x:v>
      </x:c>
      <x:c r="B6" s="22" t="n">
        <x:f>COUNTA('Definitions'!A5:A14)</x:f>
        <x:v>10</x:v>
      </x:c>
      <x:c r="C6" s="22" t="n">
        <x:v>10</x:v>
      </x:c>
      <x:c r="D6" s="22" t="n">
        <x:f>B6-C6</x:f>
        <x:v>0</x:v>
      </x:c>
      <x:c r="E6" s="22" t="str">
        <x:f>IF(D6=0,"PASS","FAIL")</x:f>
        <x:v>PASS</x:v>
      </x:c>
      <x:c r="F6" s="22" t="str">
        <x:v>Definitions A5:A14</x:v>
      </x:c>
    </x:row>
    <x:row r="7">
      <x:c r="A7" s="22" t="str">
        <x:v>Dashboard metric count</x:v>
      </x:c>
      <x:c r="B7" s="22" t="n">
        <x:f>COUNTA('Dashboard'!A5:A14)</x:f>
        <x:v>10</x:v>
      </x:c>
      <x:c r="C7" s="22" t="n">
        <x:v>10</x:v>
      </x:c>
      <x:c r="D7" s="22" t="n">
        <x:f>B7-C7</x:f>
        <x:v>0</x:v>
      </x:c>
      <x:c r="E7" s="22" t="str">
        <x:f>IF(D7=0,"PASS","FAIL")</x:f>
        <x:v>PASS</x:v>
      </x:c>
      <x:c r="F7" s="22" t="str">
        <x:v>Dashboard A5:A14</x:v>
      </x:c>
    </x:row>
    <x:row r="8">
      <x:c r="A8" s="22" t="str">
        <x:v>Targets populated</x:v>
      </x:c>
      <x:c r="B8" s="22" t="n">
        <x:f>COUNT('Dashboard'!C5:C14)</x:f>
        <x:v>10</x:v>
      </x:c>
      <x:c r="C8" s="22" t="n">
        <x:v>10</x:v>
      </x:c>
      <x:c r="D8" s="22" t="n">
        <x:f>B8-C8</x:f>
        <x:v>0</x:v>
      </x:c>
      <x:c r="E8" s="22" t="str">
        <x:f>IF(D8=0,"PASS","FAIL")</x:f>
        <x:v>PASS</x:v>
      </x:c>
      <x:c r="F8" s="22" t="str">
        <x:v>Dashboard C5:C14</x:v>
      </x:c>
    </x:row>
    <x:row r="9">
      <x:c r="A9" s="22"/>
      <x:c r="B9" s="22"/>
      <x:c r="C9" s="22"/>
      <x:c r="D9" s="22"/>
      <x:c r="E9" s="22"/>
      <x:c r="F9" s="22"/>
    </x:row>
    <x:row r="10">
      <x:c r="A10" s="22" t="str">
        <x:v>MODEL STATUS</x:v>
      </x:c>
      <x:c r="B10" s="26" t="str">
        <x:f>IF(COUNTIF(E5:E8,"FAIL")=0,"PASS","FAIL")</x:f>
        <x:v>PASS</x:v>
      </x:c>
      <x:c r="C10" s="22"/>
      <x:c r="D10" s="22"/>
      <x:c r="E10" s="22"/>
      <x:c r="F10" s="22"/>
    </x:row>
  </x:sheetData>
  <x:mergeCells>
    <x:mergeCell ref="A1:F1"/>
    <x:mergeCell ref="A2:F2"/>
  </x:mergeCells>
  <x:pageMargins left="0.7" right="0.7" top="0.75" bottom="0.75" header="0.3" footer="0.3"/>
</x:worksheet>
</file>